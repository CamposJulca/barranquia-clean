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del proyecto" sheetId="1" r:id="rId5"/>
    <sheet state="visible" name="Info Tech" sheetId="2" r:id="rId6"/>
    <sheet state="visible" name="Plan de trabajo" sheetId="3" r:id="rId7"/>
    <sheet state="hidden" name="Dropdown Keys - Do Not Delete -" sheetId="4" r:id="rId8"/>
  </sheets>
  <definedNames>
    <definedName name="flujoprocesasis">'Ficha del proyecto'!$B$49:$C$49</definedName>
    <definedName name="dprocesasis">'Ficha del proyecto'!$B$37:$C$37</definedName>
    <definedName name="flujoprocestobe">'Ficha del proyecto'!$E$49:$F$49</definedName>
    <definedName name="requerimientos">'Ficha del proyecto'!$B$35:$F$35</definedName>
    <definedName name="entregable">'Ficha del proyecto'!$B$32:$F$32</definedName>
    <definedName name="Procesos_id">'Ficha del proyecto'!$B$19:$F$19</definedName>
    <definedName name="dprocestobe">'Ficha del proyecto'!$E$37:$F$37</definedName>
    <definedName name="Status">'Dropdown Keys - Do Not Delete -'!$D$5:$D$7</definedName>
    <definedName name="Contexto">'Ficha del proyecto'!$B$16:$F$16</definedName>
    <definedName name="YesNo">'Dropdown Keys - Do Not Delete -'!$B$5:$B$6</definedName>
    <definedName name="valHighlight">#REF!</definedName>
    <definedName name="Priority">#REF!</definedName>
    <definedName name="objetivos">'Ficha del proyecto'!$B$30:$F$30</definedName>
  </definedNames>
  <calcPr/>
</workbook>
</file>

<file path=xl/sharedStrings.xml><?xml version="1.0" encoding="utf-8"?>
<sst xmlns="http://schemas.openxmlformats.org/spreadsheetml/2006/main" count="601" uniqueCount="395">
  <si>
    <t>FECHA DE CONSULTORÍA E IMPLEMENTACIÓN RUTA IA CAMARA DE COMERCIO BARRANQUILLA</t>
  </si>
  <si>
    <t>Avántika Colombia SAS</t>
  </si>
  <si>
    <t>NIT</t>
  </si>
  <si>
    <t>890101977-3</t>
  </si>
  <si>
    <t>Teléfono</t>
  </si>
  <si>
    <t>Dirección</t>
  </si>
  <si>
    <t>Carrera 57 # 74-55, Barranquilla, Atlántico.</t>
  </si>
  <si>
    <t>Ciudad</t>
  </si>
  <si>
    <t>Barranquilla</t>
  </si>
  <si>
    <t>Contacto</t>
  </si>
  <si>
    <t>Lays Ledesma León</t>
  </si>
  <si>
    <t>Sector</t>
  </si>
  <si>
    <t>Comercial</t>
  </si>
  <si>
    <t>Duración estimada de prototipaje</t>
  </si>
  <si>
    <t>3 Semana</t>
  </si>
  <si>
    <t>Experiencia</t>
  </si>
  <si>
    <t>55 Años</t>
  </si>
  <si>
    <t>Nombre del gestor CCB</t>
  </si>
  <si>
    <t>Leslye Villalba</t>
  </si>
  <si>
    <t>Número de empleados</t>
  </si>
  <si>
    <t>Teléfono del gestor CCB</t>
  </si>
  <si>
    <t>Líder del proyecto</t>
  </si>
  <si>
    <t>Fecha de Discovery</t>
  </si>
  <si>
    <t>30/12/2025</t>
  </si>
  <si>
    <t>Número de contacto de lider</t>
  </si>
  <si>
    <t>300 8050000</t>
  </si>
  <si>
    <t>Nivel de Madurez Digital</t>
  </si>
  <si>
    <t>Correo del líder de proyecto</t>
  </si>
  <si>
    <t>innovacion@avantika.com.co</t>
  </si>
  <si>
    <t>Nivel de Madurez IA</t>
  </si>
  <si>
    <t>Tipo de Solicion IA</t>
  </si>
  <si>
    <t>Modelo Predictivo</t>
  </si>
  <si>
    <t>Contexto</t>
  </si>
  <si>
    <t>Avántika Colombia S.A.S. es una empresa del sector comercial, con 79 colaboradores, que ha consolidado una posición relevante en la Costa Atlántica y presencia a nivel nacional como proveedor especializado de reactivos químicos, equipos, vidriería e insumos para laboratorio, así como en el diseño e ingeniería de laboratorios y soluciones ambientales. Su propósito corporativo —“calidad para una vida mejor”— no es únicamente una declaración institucional, sino el eje articulador de su modelo de valor: garantizar que industrias, universidades y entidades públicas cuenten con condiciones técnicas adecuadas para procesos de control de calidad, investigación y cumplimiento normativo.
Desde una perspectiva estratégica, el core business de Avántika se fundamenta en la distribución especializada de marcas reconocidas internacionalmente, operando bajo una combinación de esquemas make to order y make to stock selectivo. Este modelo responde a la naturaleza del mercado: mientras una parte importante del portafolio se importa bajo pedido específico para evitar riesgos de obsolescencia o vencimiento (especialmente en reactivos), existe una necesidad creciente de mantener inventario disponible para atender con rapidez al sector industrial privado, que exige tiempos de entrega más cortos y mayor confiabilidad en la disponibilidad.
La estructura de ingresos refleja una alta concentración en el sector estatal (B2G), que representa aproximadamente el 80% de las ventas, mientras que el sector industrial privado (B2B) participa con cerca del 20%. Esta composición genera una dinámica financiera particular: el sector público concentra contratación hacia el cierre de vigencias presupuestales, lo que produce estacionalidad en el flujo de caja y periodos valle en los meses intermedios. En este contexto, la decisión estratégica de fortalecer el segmento B2B no solo busca diversificación comercial, sino estabilización del flujo de caja, mejora en la rotación de inventarios y reducción de exposición a ciclos presupuestales del Estado.
Operativamente, la compañía enfrenta un entorno de complejidad técnica significativa. Su portafolio incluye productos importados de múltiples países, con lead times variables y sensibles a factores logísticos internacionales. Las decisiones de abastecimiento están influenciadas por variables macroeconómicas como la Tasa Representativa del Mercado (TRM), dado que las fluctuaciones cambiarias impactan directamente los costos y márgenes. Además, parte del inventario corresponde a productos perecederos o con condiciones especiales de almacenamiento y manejo, lo que incrementa el riesgo financiero asociado a una planeación inadecuada.
En términos de gestión interna, el inventario constituye un eje crítico del desempeño organizacional. Se ha identificado que una proporción significativa del stock presenta bajo o nulo movimiento en horizontes de 12 meses, lo que implica capital de trabajo inmovilizado y presión sobre el flujo de caja. Actualmente, las decisiones de compra y reposición se apoyan principalmente en análisis históricos realizados mediante herramientas como Excel, Power Query y reportes extraídos del ERP, lo que evidencia un nivel de sofisticación analítica funcional pero predominantemente manual y reactivo.
Desde la perspectiva tecnológica, Avántika se encuentra en un nivel intermedio de madurez digital (2 sobre 5), lo que implica que dispone de infraestructura y capacidades básicas consolidadas, pero aún no ha evolucionado hacia una arquitectura analítica integrada. Su ERP (DMS) opera sobre SQL Server 2014 y almacena históricos transaccionales desde 2007, lo cual constituye un activo estratégico de alto valor para iniciativas de analítica avanzada. La organización tiene control directo sobre sus bases de datos, mantiene ambientes de pruebas y cuenta con personal TIC con experiencia en consultas SQL, integraciones y explotación de datos.
En el frente comercial, la compañía ha iniciado la transición desde Salesforce hacia Odoo como nuevo CRM, con la intención de avanzar hacia una arquitectura más integrada entre procesos comerciales y operativos. Si bien actualmente no dispone de un data warehouse formal ni de una capa unificada de gobierno de datos, sí cuenta con la disciplina operativa y la apertura organizacional necesarias para evolucionar hacia modelos predictivos y automatización inteligente.
En términos estratégicos para el horizonte 12–24 meses, Avántika ha definido prioridades claras: mejorar la efectividad del proceso de ventas y cotizaciones, incrementar la productividad de la cadena de valor mediante el uso intensivo de TIC, y cumplir metas de satisfacción del cliente. Estas prioridades no pueden abordarse únicamente desde la optimización incremental de procesos existentes; requieren una transformación progresiva hacia decisiones basadas en datos, integración sistémica y uso de analítica avanzada como habilitador del negocio.
Avántika no parte de cero en su proceso de transformación digital. Cuenta con trayectoria, conocimiento profundo del negocio, infraestructura transaccional robusta y talento interno comprometido. Sin embargo, enfrenta el desafío estructural de migrar desde un modelo predominantemente histórico y reactivo hacia uno predictivo, integrado y orientado a optimización financiera. La incorporación estratégica de inteligencia artificial y analítica avanzada no responde únicamente a una tendencia tecnológica, sino a una necesidad concreta de fortalecer la gestión del capital de trabajo, mejorar la rotación de inventarios, aumentar la competitividad en el segmento B2B y sostener el crecimiento con mayor disciplina financiera y operativa.</t>
  </si>
  <si>
    <t>Procesos y problematicas principales identificadas</t>
  </si>
  <si>
    <r>
      <rPr>
        <rFont val="Century Gothic"/>
        <b/>
        <color theme="1"/>
      </rPr>
      <t xml:space="preserve">Gestión de Inventarios y Planeación de la Demanda
</t>
    </r>
    <r>
      <rPr>
        <rFont val="Century Gothic"/>
        <color theme="1"/>
      </rPr>
      <t>La gestión de inventarios en Avántika constituye el núcleo operativo sobre el cual se sostiene la promesa de valor hacia el mercado industrial y, al mismo tiempo, el principal punto de presión sobre el flujo de caja. El proceso está centralizado en el área de Cadena de Abastecimiento y soportado en el ERP DMS sobre SQL Server, con explotación de datos mediante consultas y modelos en Excel y Power Query. La dinámica actual responde a un ciclo mensual: se analizan históricos de ventas —principalmente de los últimos 24 meses—, se aplican criterios internos de rotación y clasificación ABC, se proyectan necesidades de compra y finalmente se validan decisiones en comité con gerencia antes de emitir órdenes nacionales o internacionales.
Desde una perspectiva de arquitectura empresarial, el proceso evidencia una desconexión estructural entre la capa comercial y la capa de abastecimiento. La planeación se apoya casi exclusivamente en el comportamiento histórico transaccional, mientras que la variable comercial —oportunidades en curso, introducción de nuevas marcas, desplazamientos de competencia o proyecciones de crecimiento sectorial— no se incorpora de forma sistemática en la lógica de reposición. Esto genera una organización que compra mirando el retrovisor, no necesariamente anticipando la demanda futura.
El resultado tangible es un nivel significativo de inventario de lento movimiento, que inmoviliza capital de trabajo y reduce flexibilidad financiera. Parte de este fenómeno se explica por compras make-to-order que terminaron convirtiéndose en stock no absorbido, así como por decisiones conservadoras ante lead times internacionales inciertos. Adicionalmente, no existen mecanismos automatizados de alerta temprana que permitan identificar riesgos de sobreinventario o quiebres con suficiente anticipación; el control depende en gran medida de la experiencia del responsable del proceso.
La organización posee datos históricos robustos, conocimiento del negocio y capacidad técnica para explotarlos, pero el modelo actual es predominantemente manual y reactivo. La oportunidad de evolución no radica únicamente en automatizar cálculos, sino en transformar el proceso hacia un esquema predictivo, transversal y orientado a escenarios, donde la planeación de inventarios deje de ser una función aislada y se convierta en un habilitador estratégico del crecimiento en el segmento B2B.</t>
    </r>
  </si>
  <si>
    <r>
      <rPr>
        <rFont val="Century Gothic"/>
        <b/>
        <color theme="1"/>
      </rPr>
      <t>Gestión de Abastecimiento e Importaciones</t>
    </r>
    <r>
      <rPr>
        <rFont val="Century Gothic"/>
        <color theme="1"/>
      </rPr>
      <t xml:space="preserve">
El proceso de abastecimiento en Avántika es un componente crítico de su cadena de valor, particularmente por la naturaleza internacional de buena parte de su portafolio. La compañía gestiona proveedores en múltiples geografías y opera bajo esquemas de importación que requieren coordinación logística, planeación financiera y control de tiempos de entrega. Las órdenes de compra se generan a partir de los análisis de inventario y se ejecutan tanto a nivel nacional como internacional, con recepción en las bodegas de Barranquilla y Bogotá.
Actualmente, los lead times están parametrizados de manera general por proveedor y no necesariamente por producto. Esta aproximación, aunque funcional, introduce imprecisiones cuando un mismo proveedor maneja líneas con dinámicas logísticas diferentes. Desde el punto de vista arquitectónico, la organización no dispone de un modelo estadístico que permita mapear tiempos reales de entrega por SKU ni de una herramienta que ajuste dinámicamente los niveles de stock de seguridad en función del desempeño histórico de cada producto.
El proceso también está expuesto a variables externas como la TRM, que impacta directamente los costos de importación y, por tanto, los márgenes y el flujo de caja. Si bien la empresa gestiona estos riesgos mediante prácticas financieras como forwards, la planeación de compras no integra de manera sistemática escenarios macroeconómicos en la simulación de inventarios.
En la práctica, el abastecimiento se convierte en un proceso de equilibrio constante entre disponibilidad y prudencia financiera. Ante la incertidumbre, la organización tiende a proteger el nivel de servicio incrementando inventario, lo cual termina afectando la rotación. La evolución natural del proceso implica migrar hacia una lógica donde la decisión de compra no sea únicamente una respuesta a históricos agregados, sino el resultado de un análisis predictivo granular que contemple demanda proyectada, comportamiento de proveedores y sensibilidad financiera.
</t>
    </r>
    <r>
      <rPr>
        <rFont val="Century Gothic"/>
        <b/>
        <color theme="1"/>
      </rPr>
      <t xml:space="preserve">
Ventas y Gestión de Cotizaciones</t>
    </r>
    <r>
      <rPr>
        <rFont val="Century Gothic"/>
        <color theme="1"/>
      </rPr>
      <t xml:space="preserve">
El proceso comercial de Avántika combina generación de oportunidades, elaboración de cotizaciones en el ERP y, en muchos casos, solicitud de liquidación para ajustar condiciones de precio y competir en el mercado. El volumen anual de cotizaciones es significativo y el número de ítems procesados refleja la complejidad del portafolio. En la práctica, la liquidación dejó de ser una excepción y se convirtió en un paso recurrente dentro del flujo comercial, lo que ha generado cuellos de botella en niveles directivos.
Desde una perspectiva sistémica, el proceso presenta una fragmentación entre el CRM y el ERP. Históricamente no existió integración estructural entre ambas plataformas, y aunque la organización avanza hacia una migración a Odoo con intención de mayor integración futura, actualmente la información comercial y la información transaccional de productos no se encuentran completamente unificadas. Esto dificulta una visión integral del cliente y limita la posibilidad de construir modelos de pricing basados en comportamiento histórico, margen por segmento o probabilidad de cierre.
Adicionalmente, aunque el equipo comercial es disciplinado en el registro de oportunidades y motivos de pérdida, no siempre existe trazabilidad directa a nivel de SKU. Esto impide que la organización capture con precisión qué productos se cotizan, se pierden o se ganan, limitando el aprendizaje organizacional y la retroalimentación hacia abastecimiento.
El proceso comercial, por tanto, opera con alta intensidad humana y dependencia de autorizaciones, en un entorno donde la velocidad de respuesta es determinante para el segmento industrial. La oportunidad de mejora no se limita a automatizar la liquidación, sino a rediseñar el flujo para que la inteligencia de datos apoye la toma de decisiones de precio, priorización y enfoque comercial, reduciendo fricción y aumentando competitividad.
</t>
    </r>
    <r>
      <rPr>
        <rFont val="Century Gothic"/>
        <b/>
        <color theme="1"/>
      </rPr>
      <t>Gestión Comercial por Sector (B2B, Educación y Estatal)</t>
    </r>
    <r>
      <rPr>
        <rFont val="Century Gothic"/>
        <color theme="1"/>
      </rPr>
      <t xml:space="preserve">
La estructura comercial de Avántika se distribuye entre sector estatal, industrial y educativo, con una clara predominancia del mercado público. Esta configuración genera estabilidad en volumen, pero también dependencia de ciclos presupuestales y concentración de ingresos hacia el cierre de vigencias fiscales. En contraste, el sector industrial privado exige disponibilidad inmediata, tiempos de respuesta ágiles y mayor previsibilidad en entregas.
La estrategia de marca y desarrollo de negocio ha sido definida como transversal a los sectores; sin embargo, la planeación operativa no siempre refleja esa transversalidad. Se identificó que el enfoque de pronóstico ha estado concentrado en el sector industrial, mientras que en la práctica el inventario puede terminar siendo absorbido por clientes gubernamentales bajo la lógica de “quien primero paga, primero se lleva el producto”. Esta dinámica genera tensiones internas entre la intención estratégica y la ejecución operativa.
Adicionalmente, existe una dimensión cultural relevante: la captura estructurada de previsiones comerciales futuras es limitada, en parte por la percepción de compromiso que implica registrar expectativas de venta. Esto restringe la capacidad de anticipación organizacional y refuerza la dependencia de históricos como única fuente de decisión.
En términos arquitectónicos, la organización necesita evolucionar hacia un modelo donde la estrategia comercial, el inventario y la planeación financiera estén alineados bajo una misma lógica de información. La gestión por sector no puede abordarse de manera aislada; debe integrarse en una visión sistémica que permita balancear riesgo, rentabilidad y disponibilidad, asegurando que el crecimiento del B2B no comprometa la estabilidad financiera ni la capacidad de atender el mercado estatal.</t>
    </r>
  </si>
  <si>
    <t>Matriz de evaluaciòn y priorización</t>
  </si>
  <si>
    <t>Proceso priorizado: Gestiòn de inventarios y planeaciòn de la Demanda + la gestiòn de abastecimiento e importaciones enmarcadas en una estrategia de S&amp;OP</t>
  </si>
  <si>
    <r>
      <rPr>
        <rFont val="Century Gothic"/>
        <b/>
        <color rgb="FFFFFFFF"/>
        <sz val="11.0"/>
      </rPr>
      <t xml:space="preserve">Impacto en el Negocio (30%): </t>
    </r>
    <r>
      <rPr>
        <rFont val="Century Gothic"/>
        <color rgb="FFFFFFFF"/>
        <sz val="11.0"/>
      </rPr>
      <t xml:space="preserve">Evalúa el potencial del caso de uso para generar beneficios medibles en términos de ingresos, reducción de costos, mejora de productividad, eficiencia operativa o mitigación de riesgos estratégicos. Este criterio prioriza iniciativas con impacto directo y verificable sobre los resultados del negocio.
</t>
    </r>
    <r>
      <rPr>
        <rFont val="Century Gothic"/>
        <b/>
        <color rgb="FFFFFFFF"/>
        <sz val="11.0"/>
      </rPr>
      <t xml:space="preserve">Impacto Operativo y en Procesos (20%): </t>
    </r>
    <r>
      <rPr>
        <rFont val="Century Gothic"/>
        <color rgb="FFFFFFFF"/>
        <sz val="11.0"/>
      </rPr>
      <t xml:space="preserve">Mide el grado en que la solución propuesta puede optimizar procesos clave, reducir cuellos de botella, disminuir tiempos de ciclo, mejorar el uso de recursos o fortalecer la capacidad de planificación y control operativo.
</t>
    </r>
    <r>
      <rPr>
        <rFont val="Century Gothic"/>
        <b/>
        <color rgb="FFFFFFFF"/>
        <sz val="11.0"/>
      </rPr>
      <t xml:space="preserve">Viabilidad Técnica (20%): </t>
    </r>
    <r>
      <rPr>
        <rFont val="Century Gothic"/>
        <color rgb="FFFFFFFF"/>
        <sz val="11.0"/>
      </rPr>
      <t xml:space="preserve">Analiza la factibilidad de implementar el caso de uso dentro del alcance del programa, considerando la disponibilidad y calidad de los datos, la complejidad técnica, las integraciones requeridas y la madurez tecnológica actual de la empresa.
</t>
    </r>
    <r>
      <rPr>
        <rFont val="Century Gothic"/>
        <b/>
        <color rgb="FFFFFFFF"/>
        <sz val="11.0"/>
      </rPr>
      <t xml:space="preserve">Riesgo Regulatorio, Legal y Reputacional (15%): </t>
    </r>
    <r>
      <rPr>
        <rFont val="Century Gothic"/>
        <color rgb="FFFFFFFF"/>
        <sz val="11.0"/>
      </rPr>
      <t xml:space="preserve">Evalúa los riesgos asociados al uso de inteligencia artificial en el contexto específico de la empresa, incluyendo cumplimiento normativo, protección de datos, impacto en clientes o usuarios finales y posibles efectos reputacionales. Se priorizan casos donde la IA actúa como apoyo a la toma de decisiones.
</t>
    </r>
    <r>
      <rPr>
        <rFont val="Century Gothic"/>
        <b/>
        <color rgb="FFFFFFFF"/>
        <sz val="11.0"/>
      </rPr>
      <t xml:space="preserve">Disponibilidad y Gobernanza de Datos (10%): </t>
    </r>
    <r>
      <rPr>
        <rFont val="Century Gothic"/>
        <color rgb="FFFFFFFF"/>
        <sz val="11.0"/>
      </rPr>
      <t xml:space="preserve">Considera la existencia de datos históricos suficientes, trazables y gobernables, así como la capacidad de la organización para gestionar, custodiar y auditar la información utilizada por los modelos de IA.
</t>
    </r>
    <r>
      <rPr>
        <rFont val="Century Gothic"/>
        <b/>
        <color rgb="FFFFFFFF"/>
        <sz val="11.0"/>
      </rPr>
      <t xml:space="preserve">Capacidad de Adopción Organizacional (5%): </t>
    </r>
    <r>
      <rPr>
        <rFont val="Century Gothic"/>
        <color rgb="FFFFFFFF"/>
        <sz val="11.0"/>
      </rPr>
      <t>Evalúa la disposición y capacidad de la empresa para adoptar el prototipo, incluyendo compromiso del equipo directivo, disponibilidad de usuarios clave, apertura al cambio y alineación cultural con el uso de herramientas analíticas.</t>
    </r>
  </si>
  <si>
    <t>Objetivos</t>
  </si>
  <si>
    <r>
      <rPr>
        <rFont val="Century Gothic"/>
        <b/>
        <color theme="1"/>
      </rPr>
      <t xml:space="preserve">Objetivo General
</t>
    </r>
    <r>
      <rPr>
        <rFont val="Century Gothic"/>
        <color theme="1"/>
      </rPr>
      <t xml:space="preserve">Diseñar, desarrollar y validar un prototipo de motor predictivo de demanda integrado a un esquema S&amp;OP, que permita mejorar la precisión en la planeación de inventarios y soportar decisiones de abastecimiento más eficientes, reduciendo el riesgo de sobreinventario y quiebres de stock en la línea priorizada.
Este objetivo integra tres dimensiones:
* Técnica (construcción del modelo y arquitectura sandbox).
* Operativa (mejor soporte a decisiones de reposición).
* Estratégica (optimización del capital de trabajo y fortalecimiento del segmento B2B).
</t>
    </r>
    <r>
      <rPr>
        <rFont val="Century Gothic"/>
        <b/>
        <color theme="1"/>
      </rPr>
      <t xml:space="preserve">Objetivos Específicos
</t>
    </r>
    <r>
      <rPr>
        <rFont val="Century Gothic"/>
        <color theme="1"/>
      </rPr>
      <t>1. Construir y validar un modelo predictivo de demanda por SKU.  Desarrollar un modelo estadístico/machine learning entrenado con al menos 24 meses de información histórica consolidada (ventas, movimientos de inventario, órdenes de compra y rotación), capaz de proyectar demanda a horizonte de 1 a 3 meses, con métricas de precisión técnicamente aceptables (MAPE definido como indicador de referencia).
2. Implementar una capa de reglas de negocio y simulación para decisiones de abastecimiento. Diseñar una lógica parametrizable que permita definir niveles dinámicos de stock mínimo y máximo, incorporar lead times por proveedor y simular escenarios de demanda y reposición, facilitando discusiones estructuradas en comité S&amp;OP.
3. Construir un dashboard gerencial para visualización y análisis S&amp;OP. Desarrollar una interfaz analítica que consolide demanda proyectada, inventario actual, cobertura estimada, rotación y alertas de riesgo, permitiendo visualizar el impacto potencial del modelo sobre capital de trabajo y nivel de servicio.
4. Establecer una base analítica desacoplada del ERP productivo. Implementar una capa de datos intermedia en entorno sandbox que consolide la información necesaria para el modelo, garantizando integridad, seguridad y sostenibilidad técnica del prototipo sin afectar la operación transaccional del ERP.</t>
    </r>
  </si>
  <si>
    <t>Entregable tecnología a implementar</t>
  </si>
  <si>
    <t>Entendiendo que el proceso priorizado integra la gestión de inventarios, la planeación de la demanda y la gestión de abastecimiento e importaciones bajo una lógica S&amp;OP, es fundamental precisar que lo que se desarrollará en el marco del programa es un prototipo funcional, no una solución corporativa definitiva ni una implementación productiva a gran escala. Este prototipo tiene como propósito validar técnica y estratégicamente la viabilidad de un modelo predictivo aplicado al negocio de Avántika, demostrando su impacto potencial antes de una eventual industrialización.
Desde una perspectiva de arquitectura de soluciones, el entregable consiste en el diseño y construcción de un prototipo de motor predictivo de demanda y soporte a decisiones S&amp;OP, desplegado en un entorno sandbox controlado, desacoplado del ERP productivo y con alcance acotado a la línea priorizada (reactivos e insumos del sector industrial).
El entregable incluirá cuatro componentes integrados que operan de manera coordinada:
En primer lugar, un motor predictivo de demanda por SKU, desarrollado en Python, entrenado con históricos consolidados de ventas, movimientos de inventario (cardex), órdenes de compra y rotación. Este motor será capaz de proyectar demanda a horizontes de corto y mediano plazo (1 a 3 meses), estimar cobertura en días, identificar riesgo de sobreinventario y alertar posibles quiebres de stock. El modelo operará en modo batch (ejecución periódica semanal o mensual), garantizando estabilidad y control durante la fase de validación.
En segundo lugar, se incorporará una capa de reglas de negocio parametrizable, que permitirá ajustar variables estratégicas como niveles de stock mínimo y máximo, nivel de servicio objetivo, lead times por proveedor y políticas diferenciadas por categoría o criticidad. Esta capa es clave para asegurar que el prototipo sea interpretable y controlable por el negocio, evitando que la inteligencia artificial opere como un mecanismo opaco.
En tercer lugar, el prototipo incluirá un dashboard gerencial orientado a comité S&amp;OP, diseñado para visualizar demanda proyectada versus real, cobertura estimada, capital de trabajo inmovilizado, rotación esperada y alertas de reposición. Adicionalmente, permitirá realizar simulaciones básicas de escenarios, por ejemplo, variaciones en demanda o cambios en tiempos de reposición. Este tablero funcionará como instrumento de validación del modelo y como herramienta de conversación estratégica entre abastecimiento, comercial y gerencia.
Finalmente, se diseñará una base analítica intermedia, independiente del ERP productivo, que consolidará los datos necesarios para el modelo. Esta base podrá implementarse en una instancia separada de SQL Server o PostgreSQL dentro del entorno sandbox. Su función será recibir datos extraídos del ERP DMS mediante consultas SQL controladas o vistas parametrizadas, evitando afectar la operación transaccional. Esta decisión arquitectónica es estratégica, pues garantiza que el prototipo no comprometa la estabilidad del sistema productivo y que pueda evolucionar posteriormente hacia una arquitectura más robusta.
En cuanto a la tecnología a implementar, el prototipo se desarrollará con herramientas abiertas y sostenibles para el equipo TIC interno. La capa de extracción y transformación (ETL) se construirá en Python utilizando librerías como pandas y SQLAlchemy para limpieza, homologación y enriquecimiento de variables. El motor analítico utilizará bibliotecas como scikit-learn, statsmodels o Prophet para modelamiento de series temporales y regresiones multivariables, privilegiando modelos interpretables y técnicamente defendibles sobre enfoques de alta complejidad innecesaria.
Para exponer los resultados del modelo de manera estructurada, se implementará un microservicio ligero utilizando FastAPI o Flask, lo que permitirá consultar proyecciones y recomendaciones de manera desacoplada. Aunque en esta fase no se integrará directamente al ERP, esta arquitectura orientada a servicios deja preparada la base para una futura integración productiva.
La visualización podrá realizarse mediante Power BI —si se decide aprovechar la herramienta ya utilizada por la organización— o mediante una aplicación web ligera desarrollada en Streamlit, dependiendo de las condiciones técnicas del entorno sandbox. El control de versiones del código se gestionará mediante Git y se entregará documentación técnica y funcional estructurada.
Es importante reiterar que este entregable corresponde a un prototipo validado técnicamente, cuyo alcance incluye: modelo entrenado y evaluado con métricas de precisión (MAPE, RMSE), código fuente documentado, diccionario de datos, manual técnico de instalación en entorno sandbox, manual funcional para usuarios y capacitación al equipo TIC. No contempla automatización productiva total, integración en tiempo real ni despliegue en ambiente corporativo definitivo.
Desde una perspectiva estratégica, el valor del prototipo no radica únicamente en la predicción puntual de demanda, sino en demostrar que Avántika puede institucionalizar una capa analítica estructurada dentro de su arquitectura empresarial. Este prototipo actúa como prueba de concepto técnica y como catalizador cultural hacia una gestión S&amp;OP basada en datos, permitiendo que la organización tome decisiones de abastecimiento con mayor anticipación, menor incertidumbre y mejor alineación financiera, antes de escalar hacia una solución empresarial completa</t>
  </si>
  <si>
    <t>Requerimientos</t>
  </si>
  <si>
    <r>
      <rPr>
        <rFont val="Century Gothic"/>
        <b/>
        <color theme="1"/>
      </rPr>
      <t>Requerimientos Funcionales</t>
    </r>
    <r>
      <rPr>
        <rFont val="Century Gothic"/>
        <color theme="1"/>
      </rPr>
      <t xml:space="preserve">
Desde la perspectiva del negocio y bajo un enfoque estructurado de arquitectura empresarial, el prototipo debe habilitar una nueva capacidad organizacional: la planeación de inventarios soportada por analítica predictiva dentro de un esquema S&amp;OP formalizado. En consecuencia, los requerimientos funcionales se orientan a asegurar que la solución responda directamente a las necesidades de abastecimiento, finanzas y comercial, sin sustituir la gobernanza humana sobre las decisiones críticas.
El sistema deberá consolidar información histórica de ventas, movimientos de inventario, órdenes de compra y existencias actuales a nivel de SKU, permitiendo calcular indicadores clave como rotación histórica, variabilidad de la demanda, cobertura de inventario en días y capital de trabajo inmovilizado. A partir de esta base, deberá generar proyecciones de demanda a horizontes de uno a tres meses, expresadas en unidades y en valor monetario, diferenciando categorías, criticidad y comportamiento de rotación.
El prototipo deberá incorporar una capa de reglas de negocio parametrizable que permita definir políticas de inventario tales como niveles mínimos y máximos dinámicos, nivel de servicio objetivo y tiempos de reposición promedio por proveedor, con posibilidad de evolucionar hacia tiempos de reposición por SKU. Estas reglas deberán poder modificarse sin intervención en el código fuente, garantizando flexibilidad operativa y control por parte del área de abastecimiento.
Asimismo, el sistema deberá generar alertas configurables que identifiquen riesgos de sobreinventario, probabilidad de quiebre de stock y comportamientos atípicos en la rotación. Estas alertas no ejecutarán automáticamente órdenes de compra; su propósito es apoyar la toma de decisiones en el comité S&amp;OP.
En términos de interacción, el prototipo deberá ofrecer una interfaz analítica que consolide demanda proyectada versus demanda real, inventario disponible, cobertura estimada, rotación esperada y alertas críticas. La visualización deberá permitir análisis comparativos y simulaciones de escenarios, por ejemplo, variaciones en demanda o cambios en tiempos de reposición, facilitando discusiones estratégicas entre abastecimiento, comercial y gerencia.
Finalmente, el sistema deberá garantizar trazabilidad de resultados, permitiendo comparar desempeño proyectado versus real, y registrar ejecuciones del modelo para evaluación continua. El objetivo funcional no es automatizar completamente el proceso, sino institucionalizar una capacidad analítica que mejore la calidad de las decisiones.
</t>
    </r>
    <r>
      <rPr>
        <rFont val="Century Gothic"/>
        <b/>
        <color theme="1"/>
      </rPr>
      <t>Requerimientos Técnicos</t>
    </r>
    <r>
      <rPr>
        <rFont val="Century Gothic"/>
        <color theme="1"/>
      </rPr>
      <t xml:space="preserve">
Desde el punto de vista técnico, el prototipo deberá implementarse en un entorno sandbox independiente del ERP productivo, asegurando que no exista impacto en la operación transaccional. Se diseñará una base de datos analítica intermedia, preferiblemente en SQL Server o PostgreSQL, que consolide la información necesaria para el modelo. Esta base recibirá datos extraídos del ERP DMS mediante consultas SQL parametrizadas o vistas controladas, evitando accesos directos no gobernados a tablas productivas.
Será indispensable contar con acceso estructurado al maestro de ítems (categorías, subcategorías, estado, unidad de medida), histórico de ventas por SKU y fecha, movimientos de inventario (cardex), órdenes de compra con fechas de emisión y recepción, existencias actuales por bodega y costos asociados. Se requerirá un mínimo de 24 meses de información histórica limpia y consistente para entrenamiento del modelo, recomendándose ampliar el horizonte cuando la calidad del dato lo permita.
La capa de extracción, transformación y carga (ETL) deberá desarrollarse en Python, utilizando librerías como pandas y NumPy para manipulación de datos, y conectores como SQLAlchemy para integración con bases de datos. En esta fase se implementarán procesos de limpieza, normalización, homologación de categorías, tratamiento de duplicados y generación de variables derivadas como estacionalidad, tendencia, desviación estándar de la demanda y tiempo promedio real de reposición.
El motor analítico deberá desarrollarse utilizando bibliotecas de modelamiento estadístico y machine learning interpretables, tales como scikit-learn, statsmodels o Prophet. Se priorizarán modelos de series temporales y regresión multivariable por su robustez y capacidad de explicación. El desempeño del modelo deberá validarse mediante métricas formales como MAPE y RMSE, comparando resultados contra el método manual actual.
El prototipo deberá incluir versionamiento del código mediante Git y documentación técnica completa que permita su mantenimiento por el equipo TIC interno. Para estructurar el acceso a resultados, se implementará un microservicio ligero, preferiblemente en FastAPI o Flask, que exponga las proyecciones y recomendaciones de manera desacoplada, dejando preparada la arquitectura para una futura integración con ERP o CRM.
En materia de seguridad, se deberán establecer controles de acceso por rol, manejo seguro de credenciales de conexión y registro de ejecuciones del modelo para garantizar trazabilidad. Aunque no se prevé tratamiento de datos personales sensibles, sí se deberá asegurar la confidencialidad e integridad de información financiera y comercial.
Adicionalmente, el entregable técnico deberá incluir diccionario de datos, manual técnico de instalación en entorno sandbox, manual funcional para usuarios de negocio y transferencia de conocimiento al equipo TIC. El diseño deberá garantizar sostenibilidad, portabilidad y escalabilidad futura, sentando las bases para evolucionar hacia una arquitectura analítica corporativa más madura, integrada y gobernada.</t>
    </r>
  </si>
  <si>
    <t>Descripción del Proceso Actual (AS IS)</t>
  </si>
  <si>
    <t>El proceso inicia con la extracción mensual de información desde el ERP DMS, alojado en SQL Server 2014. El responsable de abastecimiento ejecuta consultas SQL que son consumidas mediante Excel y Power Query, obteniendo el maestro de ítems (códigos SKU, categorías, subcategorías, estado del producto, unidad de medida), el maestro de movimientos o cardex (entradas, salidas, ajustes y existencias actuales por bodega), el histórico de ventas por referencia y fecha, y las órdenes de compra registradas. Esta información se consolida en archivos de trabajo donde se normalizan campos, se corrigen inconsistencias y se verifican unidades de medida.
Una vez consolidada la información, se procede al análisis de comportamiento histórico. Se calcula el consumo promedio mensual por SKU, la desviación estándar de la demanda, la frecuencia de movimiento, la rotación anual y la clasificación ABC tanto por volumen como por margen. Se identifican las referencias activas dentro del inventario físico (aproximadamente mil) y se diferencian de las más de setenta mil referencias históricas existentes en la base de datos. Sobre las referencias activas se realiza el análisis detallado de proyección.
Con base en los últimos veinticuatro meses de ventas, se construyen promedios móviles y estimaciones de consumo futuro. No se incorporan variables externas ni previsiones formales de ventas por producto; la estimación se fundamenta exclusivamente en comportamiento pasado. Cuando una referencia no presenta histórico de ventas, el sistema no sugiere reposición automática, incluso si el equipo comercial ha identificado oportunidades potenciales. Las necesidades detectadas por vendedores se comunican de forma independiente mediante formatos internos, pero no están integradas estructuralmente al modelo de proyección.
Posteriormente, se determinan cantidades sugeridas de reposición considerando el consumo promedio y el tiempo de reposición definido por proveedor. Los lead times se encuentran parametrizados de manera global por proveedor, incluyendo el tiempo logístico total. No se calcula de forma diferenciada el desempeño histórico por producto. El responsable de abastecimiento aplica un criterio manual de stock de seguridad, multiplicando el consumo promedio por el número de meses asociados al lead time y agregando un margen adicional según criticidad.
Con la lista preliminar de sugerencias de compra, se elabora un consolidado que incluye referencia, proveedor, consumo histórico, inventario disponible, cantidad sugerida y valor estimado de compra. Este consolidado se presenta en comité con gerencia para revisión y aprobación. Durante el comité se analizan los montos totales, la disponibilidad presupuestal y las prioridades estratégicas. Las cantidades pueden ajustarse manualmente antes de la autorización final.
Una vez aprobadas las cantidades, se generan las órdenes de compra en el ERP DMS. Las órdenes pueden ser nacionales o internacionales, dependiendo del proveedor asociado. Cada proveedor tiene un único origen de despacho y el tiempo de entrega ya incluye el componente logístico. Las órdenes se asignan a una de las dos bodegas operativas, Barranquilla o Bogotá, según criterio de abastecimiento y nivel de inventario existente.</t>
  </si>
  <si>
    <t>Cuando la mercancía es recibida, el personal de bodega valida físicamente el pedido, registra la entrada en el sistema y actualiza el cardex. Si el producto está sujeto a lote, se registra la fecha de vencimiento en el ERP. Los productos controlados se encuentran marcados en el sistema, mientras que las características especiales de manejo (peligrosidad, almacenamiento específico) se gestionan operativamente en bodega, sin que todos estos atributos estén estructurados como dimensiones analíticas en la base de datos.
El inventario actualizado queda disponible para consulta comercial. No existen alertas automáticas en el ERP por niveles mínimos; los umbrales se controlan externamente en los archivos de análisis. Cuando se identifican referencias sin movimiento en los últimos doce meses, estas se clasifican como baja rotación y se discuten en comité. Parte de este inventario proviene de negocios make to order donde el cliente no absorbió la totalidad del pedido. Para mitigar acumulación, se implementa una guía de cotización que prioriza ofrecer inventario existente antes de solicitar nuevos productos.
En paralelo, el equipo comercial registra oportunidades en el CRM. Cada oportunidad incluye monto estimado, cliente, estado y motivo de pérdida en caso de no concretarse. Sin embargo, las oportunidades no se vinculan directamente a los SKU específicos dentro del ERP; la relación se establece únicamente a través del número de cotización generado en DMS. Durante la transición de Salesforce a Odoo, la información histórica fue descargada y almacenada, pero no existe integración automática entre CRM y ERP para alimentar la planeación de abastecimiento.
La revisión de inventarios y proyecciones se realiza de forma mensual, aunque en algunos casos se revisan escenarios adicionales cuando se presentan variaciones relevantes en demanda o disponibilidad. No existe un sistema automatizado de simulación de escenarios ni recalibración semanal de proyecciones. Cada nuevo ciclo mensual repite el proceso: extracción de datos, consolidación en Excel, aplicación de criterios estadísticos, construcción de sugerencias de compra, revisión en comité, generación de órdenes y actualización de inventario tras recepción.
El proceso opera de forma secuencial y depende del análisis manual del responsable de abastecimiento, apoyado en herramientas ofimáticas conectadas al ERP. Las decisiones de reposición se basan principalmente en históricos de consumo y parámetros definidos internamente, sin integración estructurada de proyecciones comerciales futuras ni recalibración dinámica de tiempos de reposición por producto.</t>
  </si>
  <si>
    <t>Estado propuesto del proceso (TO BE)</t>
  </si>
  <si>
    <t>En el estado propuesto, el proceso inicia con la consolidación automática de información proveniente del ERP, el CRM y las fuentes complementarias definidas para el modelo analítico. A través de una capa intermedia de datos desacoplada del sistema transaccional, se extraen de forma programada el maestro de ítems, los movimientos de inventario (cardex), el histórico de ventas por SKU, las órdenes de compra, las existencias por bodega y los datos comerciales relevantes asociados a oportunidades y cotizaciones. La información se almacena en una base analítica estructurada que normaliza categorías, unifica unidades de medida y consolida atributos críticos como fecha de vencimiento, clasificación del producto, proveedor y lead time.
Una vez actualizada la base analítica, se ejecuta el motor predictivo de demanda. El modelo procesa el histórico consolidado, calcula tendencias, estacionalidad, variabilidad y comportamiento por referencia, e incorpora la señal comercial proveniente del CRM, permitiendo que oportunidades vigentes, proyecciones de marca o introducción de nuevos productos influyan en la estimación de demanda futura. Para referencias sin histórico suficiente, el modelo aplica reglas de inferencia basadas en comportamiento de categorías similares o productos sustitutos.
El sistema genera una proyección de demanda por SKU para el horizonte definido (1 a 3 meses), expresada en unidades y valor monetario. Sobre esta proyección se ejecuta la capa de reglas de negocio parametrizable, donde se aplican políticas de inventario configuradas por la organización: nivel de servicio objetivo, stock mínimo dinámico, stock máximo recomendado, tiempo de reposición por proveedor o por producto y factor de seguridad ajustado por criticidad.
Con base en estas variables, el sistema calcula automáticamente la cantidad sugerida de reposición por referencia, estimando cobertura en días, punto de reorden y riesgo de quiebre o sobreinventario. Simultáneamente, identifica productos con rotación atípica, inventario con riesgo de vencimiento y referencias de bajo movimiento que requieren intervención estratégica.
Las recomendaciones generadas por el modelo se presentan en un tablero S&amp;OP accesible a abastecimiento, comercial y gerencia. El dashboard muestra demanda proyectada versus demanda histórica, inventario disponible por bodega, cobertura estimada, capital de trabajo comprometido y alertas priorizadas. Los usuarios pueden simular escenarios modificando variables como nivel de servicio, incremento de demanda esperada o cambios en lead times, observando en tiempo real el impacto en volumen de compra y valor financiero.
En el comité S&amp;OP, las decisiones se soportan en la información generada por el sistema. Las cantidades sugeridas pueden ajustarse en función de criterios estratégicos, pero el modelo deja trazabilidad de la recomendación original y de cualquier modificación realizada. Una vez aprobadas las decisiones de compra, se genera un archivo estructurado o servicio de integración que permite registrar las órdenes de compra en el ERP, manteniendo coherencia entre análisis y ejecución.
Cuando la mercancía es recibida, el registro en el ERP actualiza automáticamente la base analítica mediante el proceso de sincronización programado. El sistema recalcula indicadores de rotación, cobertura y desempeño del modelo, comparando demanda proyectada versus demanda real para medir precisión. Esta retroalimentación alimenta el proceso de recalibración periódica del modelo predictivo.
El monitoreo del inventario deja de depender exclusivamente de revisiones mensuales. El sistema ejecuta validaciones semanales que generan alertas tempranas de desviación significativa en consumo o riesgo de quiebre, permitiendo intervenciones anticipadas. Asimismo, identifica productos con rotación inferior al umbral definido y propone estrategias de acción, como priorización en cotizaciones o ajustes en política de reposición.
La integración progresiva con el CRM permite que las oportunidades comerciales se relacionen con SKU específicos, alimentando la variable de demanda futura dentro del proceso S&amp;OP. De esta manera, la planeación de abastecimiento deja de basarse únicamente en comportamiento histórico y pasa a incorporar señales de mercado estructuradas.
El flujo completo opera de manera cíclica y automatizada: extracción programada de datos, actualización de base analítica, ejecución del modelo, generación de recomendaciones, revisión en comité, emisión de órdenes, registro de recepción y recalibración continua. Las decisiones permanecen bajo control humano, pero se apoyan en un sistema que provee análisis predictivo, simulación y trazabilidad.
El proceso propuesto consolida la planeación de inventarios y abastecimiento en un esquema S&amp;OP estructurado, con soporte analítico permanente, reducción de intervención manual repetitiva y mayor alineación entre comercial, operaciones y finanzas.</t>
  </si>
  <si>
    <t>Flujo del Proceso Actual (AS IS)</t>
  </si>
  <si>
    <t>Flujo propuesto del proceso (TO BE)</t>
  </si>
  <si>
    <t xml:space="preserve">KPI`s SUGERIDOS
</t>
  </si>
  <si>
    <t>Nombre de Indicador</t>
  </si>
  <si>
    <t>Definición</t>
  </si>
  <si>
    <t>Fórmula</t>
  </si>
  <si>
    <t>Cálculo de medición</t>
  </si>
  <si>
    <t>Línea base* (resultado)</t>
  </si>
  <si>
    <t>Precisión del Modelo (MAPE)</t>
  </si>
  <si>
    <t>Mide el porcentaje promedio de error entre la demanda proyectada por el modelo y la demanda real observada.</t>
  </si>
  <si>
    <t>MAPE = (1/n) * Σ | (Real – Proyectado) / Real | * 100</t>
  </si>
  <si>
    <t>Medición mensual por SKU y consolidado ponderado por volumen.</t>
  </si>
  <si>
    <t>No existe medición formal actual. Planeación basada en histórico manual sin control de error.</t>
  </si>
  <si>
    <t>Cobertura Promedio de Inventario (Días)</t>
  </si>
  <si>
    <t>Indica cuántos días de inventario disponible existen frente al consumo promedio proyectado.</t>
  </si>
  <si>
    <t>Cobertura = Inventario disponible / Consumo promedio diario</t>
  </si>
  <si>
    <t>Medición semanal con consolidado mensual por categoría priorizada.</t>
  </si>
  <si>
    <t>Se calcula manualmente en Excel, sin control dinámico estructurado.</t>
  </si>
  <si>
    <t>Nivel de Servicio (Fill Rate)</t>
  </si>
  <si>
    <t>Porcentaje de pedidos atendidos completamente sin ruptura de stock.</t>
  </si>
  <si>
    <t>(Pedidos atendidos completos / Total pedidos) * 100</t>
  </si>
  <si>
    <t>Medición mensual sobre pedidos facturados en la línea priorizada.</t>
  </si>
  <si>
    <t>No medido estructuralmente; evidencias de quiebres en sector industrial.</t>
  </si>
  <si>
    <t>Índice de Quiebre de Stock</t>
  </si>
  <si>
    <t>Proporción de referencias que presentan agotamiento durante el período evaluado.</t>
  </si>
  <si>
    <t>(N° SKU con quiebre / Total SKU activos) * 100</t>
  </si>
  <si>
    <t>Medición mensual por categoría priorizada.</t>
  </si>
  <si>
    <t>No existe alerta automática; identificación reactiva.</t>
  </si>
  <si>
    <t>Inventario de Baja Rotación (%)</t>
  </si>
  <si>
    <t>Porcentaje del inventario sin movimiento en los últimos 12 meses respecto al total inventariado.</t>
  </si>
  <si>
    <t>(Valor inventario sin rotación 12m / Valor total inventario) * 100</t>
  </si>
  <si>
    <t>Medición trimestral consolidada por valor monetario.</t>
  </si>
  <si>
    <t>Aproximadamente 80% de referencias físicas en baja rotación.</t>
  </si>
  <si>
    <t>Capital de Trabajo Inmovilizado</t>
  </si>
  <si>
    <t>Valor financiero comprometido en inventario de baja rotación o sobrestock.</t>
  </si>
  <si>
    <t>Σ (Costo unitario x cantidad en inventario de baja rotación)</t>
  </si>
  <si>
    <t>Medición mensual en COP para línea priorizada.</t>
  </si>
  <si>
    <t>No cuantificado sistemáticamente; identificado como problema estructural.</t>
  </si>
  <si>
    <t>Tiempo de Ciclo de Planeación (Horas Hombre)</t>
  </si>
  <si>
    <t>Tiempo requerido para ejecutar el proceso completo de análisis y generación de sugerencias de compra.</t>
  </si>
  <si>
    <t>Horas invertidas por ciclo mensual</t>
  </si>
  <si>
    <t>Medición mensual mediante registro de dedicación del responsable.</t>
  </si>
  <si>
    <t>Proceso manual mensual con alta dependencia de una persona.</t>
  </si>
  <si>
    <t>Desviación de Lead Time Real vs Parametrizado</t>
  </si>
  <si>
    <t>Diferencia porcentual entre el tiempo real de entrega y el tiempo de reposición configurado por proveedor.</t>
  </si>
  <si>
    <t>(Lead Time real – Lead Time parametrizado) / Lead Time parametrizado</t>
  </si>
  <si>
    <t>Medición trimestral por proveedor estratégico.</t>
  </si>
  <si>
    <t>No medido estructuralmente; parametrización fija por proveedor.</t>
  </si>
  <si>
    <t>Rotación Promedio por Categoría</t>
  </si>
  <si>
    <t>Número de veces que el inventario se renueva en un periodo determinado.</t>
  </si>
  <si>
    <t>Rotación = Costo de ventas / Inventario promedio</t>
  </si>
  <si>
    <t>Medición trimestral por línea priorizada.</t>
  </si>
  <si>
    <t>Cálculo manual sin consolidación automatizada.</t>
  </si>
  <si>
    <t>Reducción de Sobreinventario (%)</t>
  </si>
  <si>
    <t>Variación porcentual del inventario excedente frente a la línea base inicial del piloto.</t>
  </si>
  <si>
    <t>((Inventario excedente base – Inventario excedente actual) / Inventario excedente base) * 100</t>
  </si>
  <si>
    <t>Medición al cierre del piloto (comparativo 3–6 meses).</t>
  </si>
  <si>
    <t>Línea base inicial corresponde al inventario actual clasificado como baja rotación.</t>
  </si>
  <si>
    <t>Aprobo:</t>
  </si>
  <si>
    <t>Elaboró:</t>
  </si>
  <si>
    <t xml:space="preserve">Nombre: </t>
  </si>
  <si>
    <t>Nombre:</t>
  </si>
  <si>
    <t>Representante Legal de la Empresa</t>
  </si>
  <si>
    <t>Boost Business Consulting</t>
  </si>
  <si>
    <t>Contactos</t>
  </si>
  <si>
    <t>Nombre</t>
  </si>
  <si>
    <t>Cargo</t>
  </si>
  <si>
    <t>Responsabilidad dentro del proyecto</t>
  </si>
  <si>
    <t>numero de celular</t>
  </si>
  <si>
    <t>correo electronico</t>
  </si>
  <si>
    <t>Analisis de datos</t>
  </si>
  <si>
    <t>Descripcion (Acceso)</t>
  </si>
  <si>
    <t>Caracteristicas (Calidad, frecuencia, volumen.
Necesidades de limpieza, transformación y riesgos.)</t>
  </si>
  <si>
    <t>Origen</t>
  </si>
  <si>
    <t>Links de Actas de reunion</t>
  </si>
  <si>
    <t>Reuniòn</t>
  </si>
  <si>
    <t>Link</t>
  </si>
  <si>
    <t>Feedback Discovery, priorizacion de caso, aprobacion de avance</t>
  </si>
  <si>
    <t>https://docs.google.com/document/d/1ofbsE368F2zyu_cit6L0CLuZ1r3-VC62crh31pRjqlg/edit?usp=sharing</t>
  </si>
  <si>
    <t>Sesion de levantamiento detallado de proceso</t>
  </si>
  <si>
    <t>Definicion tecnica</t>
  </si>
  <si>
    <t>Arquitectura Lògica</t>
  </si>
  <si>
    <t>Descripcion y consideraciones técnicas</t>
  </si>
  <si>
    <t>Project Management Boost Business Consulting</t>
  </si>
  <si>
    <t>https://www.smartsheet.com/try-it?trp=11440&amp;utm_source=template-google-sheet&amp;utm_medium=content&amp;utm_campaign=Project+Management+Dashboard-google-sheet-11440&amp;lpa=Project+Management+Dashboard+google-sheet+11440</t>
  </si>
  <si>
    <t>Nombre del proyecto</t>
  </si>
  <si>
    <t>Date</t>
  </si>
  <si>
    <t>Project Status</t>
  </si>
  <si>
    <t>% Complete</t>
  </si>
  <si>
    <t>ROYAL FILMS S.A.S.  - Ruta IA Camara de Comercio de Barranquilla</t>
  </si>
  <si>
    <t>ON TRACK</t>
  </si>
  <si>
    <t>Tareas Timeline</t>
  </si>
  <si>
    <t>DASHBOARD DATA</t>
  </si>
  <si>
    <t>TASK TABLE</t>
  </si>
  <si>
    <t>TAREA</t>
  </si>
  <si>
    <t>ASIGNADO A</t>
  </si>
  <si>
    <t>Entregable</t>
  </si>
  <si>
    <t>FECHA INICIO</t>
  </si>
  <si>
    <t>FECHA FIN</t>
  </si>
  <si>
    <t>DURACION DIAS</t>
  </si>
  <si>
    <t>STATUS</t>
  </si>
  <si>
    <t>PRIORIDAD</t>
  </si>
  <si>
    <t>COMENTARIOS</t>
  </si>
  <si>
    <t>Diagnostico y establecimiento de línea base.</t>
  </si>
  <si>
    <t>Complete</t>
  </si>
  <si>
    <t>High</t>
  </si>
  <si>
    <t>Aplicación del instrumento de autodiagnóstico digital (formulario cuantitativo) por empresa</t>
  </si>
  <si>
    <t>Consultor de negocio + Empresa</t>
  </si>
  <si>
    <t>Respuestas digitales del diagnóstico en sistema</t>
  </si>
  <si>
    <t>Medium</t>
  </si>
  <si>
    <t>Entrevista cualitativa con directivos y/o líderes funcionales (operaciones, tecnología, comercial, etc.)</t>
  </si>
  <si>
    <t>Líder del Proyecto + Consultor de negocio</t>
  </si>
  <si>
    <t>Registro de entrevista y transcripción resumida</t>
  </si>
  <si>
    <t>Recolección y análisis de información de procesos clave (input/output, sistemas actuales, actores, tiempos, costos, etc.)</t>
  </si>
  <si>
    <t>Matriz de procesos por empresa</t>
  </si>
  <si>
    <t>Solicitud y acopio de datos operativos relevantes para posibles soluciones IA (históricos de ventas, producción, atención, etc.)</t>
  </si>
  <si>
    <t>Consultor Funcional + Empresa</t>
  </si>
  <si>
    <t>Carpeta de datos estructurados (Excel, CSV, BD, etc.)</t>
  </si>
  <si>
    <t>Visita o reunion con la empresa para validación in situ de procesos y equipos (cuando aplique)</t>
  </si>
  <si>
    <t>Líder del Proyecto</t>
  </si>
  <si>
    <t>Informe de visita con fotos y observaciones</t>
  </si>
  <si>
    <t>Evaluación de madurez tecnológica y digital con base en instrumentos propios de Boost</t>
  </si>
  <si>
    <t>Consultor de negocio</t>
  </si>
  <si>
    <t>Informe de madurez por empresa (score y nivel)</t>
  </si>
  <si>
    <t>Mapeo de capacidades internas y recursos disponibles para adoptar soluciones tecnológicas</t>
  </si>
  <si>
    <t>Consultor de negocio + Líder del Proyecto</t>
  </si>
  <si>
    <t>Matriz de capacidades y restricciones</t>
  </si>
  <si>
    <t>Cálculo de línea base de indicadores: tiempo de ciclo, volumen de atención, error operativo, tiempos muertos, etc.</t>
  </si>
  <si>
    <t>Línea base cuantitativa de indicadores</t>
  </si>
  <si>
    <t>Matriz de riesgos preliminares para adopción de IA (éticos, regulatorios, técnicos, culturales)</t>
  </si>
  <si>
    <t>Mapa de riesgos y alertas tempranas</t>
  </si>
  <si>
    <t>Consolidación de diagnóstico y elaboración del Informe Ejecutivo por empresa</t>
  </si>
  <si>
    <t>Informe de diagnóstico entregado a empresa y CCB</t>
  </si>
  <si>
    <t>Validación con la empresa del diagnóstico y firma de conformidad</t>
  </si>
  <si>
    <t>Empresa + Consultor Boost</t>
  </si>
  <si>
    <t>Formulario de validación firmado</t>
  </si>
  <si>
    <t>Diseño y priorizacion de casos de uso</t>
  </si>
  <si>
    <t>In Progress</t>
  </si>
  <si>
    <t>Preparación y validación de una plantilla base de priorización (impacto vs viabilidad) adaptada por sector</t>
  </si>
  <si>
    <t>Consultor de negocio + Líder técnico</t>
  </si>
  <si>
    <t>Plantilla de evaluación lista para aplicar</t>
  </si>
  <si>
    <t>Análisis de los procesos identificados como potenciales candidatos para intervención con IA (máx. 3 por empresa)</t>
  </si>
  <si>
    <t>Listado de procesos candidatos por empresa</t>
  </si>
  <si>
    <t>Sesión de ideación por empresa (virtual o presencial) con el equipo interno para generar posibles casos de uso</t>
  </si>
  <si>
    <t>Líder del Proyecto + Empresa</t>
  </si>
  <si>
    <t>Registro de ideas priorizadas por proceso</t>
  </si>
  <si>
    <t>Socialización de casos de éxito aplicables por sector para inspirar la formulación de ideas</t>
  </si>
  <si>
    <t>Fichas de referencia compartidas y contextualizadas</t>
  </si>
  <si>
    <t>Definición y formulación de mínimo 2 a 3 posibles casos de uso por empresa con título, objetivo, input de datos, output esperado, periodicidad y usuarios</t>
  </si>
  <si>
    <t>Documento preliminar de casos de uso</t>
  </si>
  <si>
    <t>Aplicación de la matriz de priorización (impacto económico, facilidad de implementación, alineación estratégica, riesgo de datos)</t>
  </si>
  <si>
    <t>Matriz evaluada y ponderada por caso</t>
  </si>
  <si>
    <t>Priorización conjunta del caso de uso a desarrollar como MVP, con justificación</t>
  </si>
  <si>
    <t>Empresa + Boost</t>
  </si>
  <si>
    <t>Caso de uso seleccionado con acta de aprobación</t>
  </si>
  <si>
    <t>Diseño de arquitectura conceptual del MVP: componentes, flujos de datos, dependencias externas, modelo IA preliminar, requisitos mínimos</t>
  </si>
  <si>
    <t>Líder técnico + Consultor de negocio</t>
  </si>
  <si>
    <t>Diagrama de arquitectura funcional</t>
  </si>
  <si>
    <t>Definición de requerimientos funcionales y técnicos mínimos del MVP: tipo de IA, input requerido, output esperado, periodicidad, latencia esperada, tipo de visualización o interfaz</t>
  </si>
  <si>
    <t>Líder técnico + Empresa</t>
  </si>
  <si>
    <t>Documento de requerimientos del prototipo</t>
  </si>
  <si>
    <t>Validación de la disponibilidad y calidad de datos requeridos para alimentar el MVP</t>
  </si>
  <si>
    <t>Consultor de negocio + Técnico Boost</t>
  </si>
  <si>
    <t>Check de factibilidad técnica (dataset mínimo viable)</t>
  </si>
  <si>
    <t>Elaboración del plan de desarrollo y prueba del MVP con cronograma, responsables, roles requeridos y estructura de entregables</t>
  </si>
  <si>
    <t>Líder del Proyecto + Líder técnico</t>
  </si>
  <si>
    <t>Plan de desarrollo del prototipo</t>
  </si>
  <si>
    <t>Presentación ejecutiva del caso de uso priorizado a CCB y validación de trazabilidad con la línea base de indicadores</t>
  </si>
  <si>
    <t>Acta de validación y ficha ejecutiva del caso de uso</t>
  </si>
  <si>
    <t>Prototipado y validación inicial</t>
  </si>
  <si>
    <t>Alineación de alcance técnico, supuestos y exclusiones del prototipo</t>
  </si>
  <si>
    <t>Consultor líder + Empresa</t>
  </si>
  <si>
    <t>Acta de alcance y supuestos</t>
  </si>
  <si>
    <t>Blindaje de alcance (solo confitería)</t>
  </si>
  <si>
    <t>Definición del flujo funcional de recomendaciones en checkout</t>
  </si>
  <si>
    <t>Consultor negocio + Empresa</t>
  </si>
  <si>
    <t>Flujo funcional validado</t>
  </si>
  <si>
    <t>Punto exacto de intervención</t>
  </si>
  <si>
    <t>Identificación de variables comerciales clave para recomendación</t>
  </si>
  <si>
    <t>Consultor negocio + Comercial</t>
  </si>
  <si>
    <t>Listado de variables priorizadas</t>
  </si>
  <si>
    <t>Producto, combos, promociones</t>
  </si>
  <si>
    <t>Definición del modelo lógico de datos de ventas y confitería</t>
  </si>
  <si>
    <t>Consultor + Líder técnico</t>
  </si>
  <si>
    <t>Modelo lógico validado</t>
  </si>
  <si>
    <t>Base analítica</t>
  </si>
  <si>
    <t>Definición de reglas de negocio para recomendaciones</t>
  </si>
  <si>
    <t>Reglas documentadas</t>
  </si>
  <si>
    <t>Interpretabilidad</t>
  </si>
  <si>
    <t>Diseño del esquema de extracción de datos (solo lectura)</t>
  </si>
  <si>
    <t>Líder técnico</t>
  </si>
  <si>
    <t>Esquema de extracción</t>
  </si>
  <si>
    <t>No intrusivo</t>
  </si>
  <si>
    <t>Habilitación del entorno sandbox del prototipo</t>
  </si>
  <si>
    <t>Entorno sandbox operativo</t>
  </si>
  <si>
    <t>Aislado</t>
  </si>
  <si>
    <t>Extracción controlada de datos históricos de ventas digitales</t>
  </si>
  <si>
    <t>Dataset histórico curado</t>
  </si>
  <si>
    <t>12–36 meses</t>
  </si>
  <si>
    <t>Limpieza y normalización de datos de ventas y confitería</t>
  </si>
  <si>
    <t>IA Engineer / Data</t>
  </si>
  <si>
    <t>Dataset validado</t>
  </si>
  <si>
    <t>Calidad de datos</t>
  </si>
  <si>
    <t>Análisis exploratorio de patrones de consumo</t>
  </si>
  <si>
    <t>IA Engineer</t>
  </si>
  <si>
    <t>Informe exploratorio</t>
  </si>
  <si>
    <t>Inputs al modelo</t>
  </si>
  <si>
    <t>Desarrollo del motor de recomendaciones (estructura base)</t>
  </si>
  <si>
    <t>Motor IA base</t>
  </si>
  <si>
    <t>Núcleo del prototipo</t>
  </si>
  <si>
    <t>Desarrollo del servicio de recomendaciones (API / endpoint)</t>
  </si>
  <si>
    <t>Servicio funcional</t>
  </si>
  <si>
    <t>Not Started</t>
  </si>
  <si>
    <t>Consumo desde checkout</t>
  </si>
  <si>
    <t>Desarrollo de visualización básica / logs de recomendaciones</t>
  </si>
  <si>
    <t>Desarrollador</t>
  </si>
  <si>
    <t>Reporte básico</t>
  </si>
  <si>
    <t>Uso demostrativo</t>
  </si>
  <si>
    <t>Integración motor IA con flujo de checkout digital</t>
  </si>
  <si>
    <t>Líder técnico + Dev</t>
  </si>
  <si>
    <t>Prototipo integrado</t>
  </si>
  <si>
    <t>MVP funcional</t>
  </si>
  <si>
    <t>Pruebas técnicas del prototipo</t>
  </si>
  <si>
    <t>Líder técnico + IA Engineer</t>
  </si>
  <si>
    <t>Registro de pruebas técnicas</t>
  </si>
  <si>
    <t>Estabilidad</t>
  </si>
  <si>
    <t>Pruebas funcionales con área comercial</t>
  </si>
  <si>
    <t>Informe de pruebas funcionales</t>
  </si>
  <si>
    <t>Validación negocio</t>
  </si>
  <si>
    <t>Ajustes finales del prototipo</t>
  </si>
  <si>
    <t>Prototipo ajustado</t>
  </si>
  <si>
    <t>Ajustes menores</t>
  </si>
  <si>
    <t>Documentación técnica del prototipo</t>
  </si>
  <si>
    <t>Documento técnico</t>
  </si>
  <si>
    <t>Requerido Ruta IA</t>
  </si>
  <si>
    <t>Documentación funcional y de uso</t>
  </si>
  <si>
    <t>Consultor negocio</t>
  </si>
  <si>
    <t>Documento funcional</t>
  </si>
  <si>
    <t>Usuarios negocio</t>
  </si>
  <si>
    <t>Validación final del prototipo</t>
  </si>
  <si>
    <t>Consultor + Empresa</t>
  </si>
  <si>
    <t>Acta de validación</t>
  </si>
  <si>
    <t>Go / No Go</t>
  </si>
  <si>
    <t>Cierre de la fase de prototipado</t>
  </si>
  <si>
    <t>Acta de cierre de fase</t>
  </si>
  <si>
    <t>Cierre formal</t>
  </si>
  <si>
    <t>Medición, Evaluación y Optimización</t>
  </si>
  <si>
    <t>Definición del esquema de medición del prototipo</t>
  </si>
  <si>
    <t>Consultor líder + Líder técnico</t>
  </si>
  <si>
    <t>Esquema de medición validado</t>
  </si>
  <si>
    <t>KPI acordados</t>
  </si>
  <si>
    <t>Definición de línea base estimada (pre-prototipo)</t>
  </si>
  <si>
    <t>Línea base documentada</t>
  </si>
  <si>
    <t>Histórico sin IA</t>
  </si>
  <si>
    <t>Recolección de datos de uso controlado del prototipo</t>
  </si>
  <si>
    <t>Registro de uso y resultados</t>
  </si>
  <si>
    <t>Piloto supervisado</t>
  </si>
  <si>
    <t>Medición de incremento del ticket promedio de confitería</t>
  </si>
  <si>
    <t>Registro comparativo</t>
  </si>
  <si>
    <t>Antes vs después</t>
  </si>
  <si>
    <t>Medición de tasa de aceptación de recomendaciones</t>
  </si>
  <si>
    <t>Registro de aceptación</t>
  </si>
  <si>
    <t>Recomendaciones aceptadas</t>
  </si>
  <si>
    <t>Medición de conversión digital con confitería</t>
  </si>
  <si>
    <t>Registro de conversión</t>
  </si>
  <si>
    <t>Impacto comercial</t>
  </si>
  <si>
    <t>Evaluación técnica del desempeño del motor de recomendaciones</t>
  </si>
  <si>
    <t>Informe técnico</t>
  </si>
  <si>
    <t>Estabilidad y latencia</t>
  </si>
  <si>
    <t>Evaluación de explicabilidad y reglas de negocio</t>
  </si>
  <si>
    <t>Registro de validación</t>
  </si>
  <si>
    <t>Confianza negocio</t>
  </si>
  <si>
    <t>Evaluación cualitativa de experiencia de usuario</t>
  </si>
  <si>
    <t>Registro de feedback</t>
  </si>
  <si>
    <t>Usabilidad</t>
  </si>
  <si>
    <t>Identificación de fricciones en el flujo de checkout</t>
  </si>
  <si>
    <t>Registro de incidencias</t>
  </si>
  <si>
    <t>No fricción UX</t>
  </si>
  <si>
    <t>Identificación de limitaciones técnicas del prototipo</t>
  </si>
  <si>
    <t>Documento de limitaciones</t>
  </si>
  <si>
    <t>No productivo</t>
  </si>
  <si>
    <t>Priorización de oportunidades de optimización</t>
  </si>
  <si>
    <t>Backlog priorizado</t>
  </si>
  <si>
    <t>Fase posterior</t>
  </si>
  <si>
    <t>Ajustes menores al prototipo (solo correctivos)</t>
  </si>
  <si>
    <t>Sin nuevo alcance</t>
  </si>
  <si>
    <t>Elaboración del informe de evaluación del prototipo</t>
  </si>
  <si>
    <t>Informe final de evaluación</t>
  </si>
  <si>
    <t>Entregable Ruta IA</t>
  </si>
  <si>
    <t>Presentación de resultados a la empresa</t>
  </si>
  <si>
    <t>Presentación ejecutiva</t>
  </si>
  <si>
    <t>Comité</t>
  </si>
  <si>
    <t>Validación formal de resultados</t>
  </si>
  <si>
    <t>Boost + Empresa</t>
  </si>
  <si>
    <t>Cierre técnico</t>
  </si>
  <si>
    <t>Cierre, Escalabilidad y Lecciones Aprendidas</t>
  </si>
  <si>
    <t>Consolidación del archivo final del proyecto</t>
  </si>
  <si>
    <t>Backoffice + Líder del Proyecto</t>
  </si>
  <si>
    <t>Carpeta digital con todos los entregables</t>
  </si>
  <si>
    <t>Evidencia Ruta IA</t>
  </si>
  <si>
    <t>Verificación de cumplimiento de entregables y trazabilidad</t>
  </si>
  <si>
    <t>Checklist de cumplimiento firmado</t>
  </si>
  <si>
    <t>Auditoría y control</t>
  </si>
  <si>
    <t>Validación final del caso con Royal Films</t>
  </si>
  <si>
    <t>Acta de cierre del caso</t>
  </si>
  <si>
    <t>Elaboración de ficha ejecutiva del caso (1 página)</t>
  </si>
  <si>
    <t>Ficha ejecutiva del caso</t>
  </si>
  <si>
    <t>Síntesis ejecutiva</t>
  </si>
  <si>
    <t>Documentación de lecciones aprendidas del proyecto</t>
  </si>
  <si>
    <t>Documento de lecciones aprendidas</t>
  </si>
  <si>
    <t>Capitalización</t>
  </si>
  <si>
    <t>Identificación de oportunidades de escalabilidad</t>
  </si>
  <si>
    <t>Documento de oportunidades de escalamiento</t>
  </si>
  <si>
    <t>Definición de escenarios de evolución a productivo (alto nivel)</t>
  </si>
  <si>
    <t>Líder técnico + Consultor</t>
  </si>
  <si>
    <t>Lineamientos técnicos de evolución</t>
  </si>
  <si>
    <t>No contractual</t>
  </si>
  <si>
    <t>Recomendaciones de gobernanza y operación futura</t>
  </si>
  <si>
    <t>Consultor líder</t>
  </si>
  <si>
    <t>Recomendaciones de gobierno del dato e IA</t>
  </si>
  <si>
    <t>Marco orientador</t>
  </si>
  <si>
    <t>Cierre administrativo del caso Ruta IA</t>
  </si>
  <si>
    <t>Backoffice + Boost</t>
  </si>
  <si>
    <t>Registro de cierre administrativo</t>
  </si>
  <si>
    <t>Cierre formal programa</t>
  </si>
  <si>
    <t>Task Status %</t>
  </si>
  <si>
    <t>COUNT</t>
  </si>
  <si>
    <t>%</t>
  </si>
  <si>
    <t>Needs Review</t>
  </si>
  <si>
    <t>Approved</t>
  </si>
  <si>
    <t>Overdue</t>
  </si>
  <si>
    <t>On Hold</t>
  </si>
  <si>
    <t>TOTAL</t>
  </si>
  <si>
    <t>Task Priority %</t>
  </si>
  <si>
    <t>Pendientes</t>
  </si>
  <si>
    <t>PRIORITY</t>
  </si>
  <si>
    <t>Decisions</t>
  </si>
  <si>
    <t>Low</t>
  </si>
  <si>
    <t>Actions</t>
  </si>
  <si>
    <t xml:space="preserve">Change Requests </t>
  </si>
  <si>
    <t>DROPDOWN KEYS</t>
  </si>
  <si>
    <t>YES / NO</t>
  </si>
  <si>
    <t>Yes</t>
  </si>
  <si>
    <t>No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</si>
</sst>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numFmt numFmtId="165" formatCode="mm/dd/yy"/>
    <numFmt numFmtId="166" formatCode="mm/dd"/>
    <numFmt numFmtId="167" formatCode="&quot;$&quot;#,##0"/>
    <numFmt numFmtId="168" formatCode="0.0%"/>
  </numFmts>
  <fonts count="36">
    <font>
      <sz val="12.0"/>
      <color theme="1"/>
      <name val="Calibri"/>
      <scheme val="minor"/>
    </font>
    <font>
      <color theme="1"/>
      <name val="Arial"/>
    </font>
    <font>
      <b/>
      <sz val="12.0"/>
      <color theme="1"/>
      <name val="Century Gothic"/>
    </font>
    <font>
      <color theme="1"/>
      <name val="Century Gothic"/>
    </font>
    <font>
      <color rgb="FFFFFFFF"/>
      <name val="Century Gothic"/>
    </font>
    <font>
      <color rgb="FFFFFFFF"/>
      <name val="Arial"/>
    </font>
    <font>
      <b/>
      <color theme="1"/>
      <name val="Century Gothic"/>
    </font>
    <font>
      <color rgb="FF000000"/>
      <name val="Century Gothic"/>
    </font>
    <font>
      <b/>
      <color rgb="FF000000"/>
      <name val="Century Gothic"/>
    </font>
    <font/>
    <font>
      <sz val="11.0"/>
      <color rgb="FFFFFFFF"/>
      <name val="Century Gothic"/>
    </font>
    <font>
      <sz val="12.0"/>
      <color theme="1"/>
      <name val="Century Gothic"/>
    </font>
    <font>
      <sz val="11.0"/>
      <color theme="1"/>
      <name val="Century Gothic"/>
    </font>
    <font>
      <color theme="1"/>
      <name val="Calibri"/>
      <scheme val="minor"/>
    </font>
    <font>
      <sz val="12.0"/>
      <color theme="1"/>
      <name val="Calibri"/>
    </font>
    <font>
      <b/>
      <sz val="16.0"/>
      <color theme="1"/>
      <name val="Calibri"/>
    </font>
    <font>
      <b/>
      <color theme="1"/>
      <name val="Calibri"/>
      <scheme val="minor"/>
    </font>
    <font>
      <color rgb="FFFFFFFF"/>
      <name val="Calibri"/>
      <scheme val="minor"/>
    </font>
    <font>
      <u/>
      <color rgb="FF467886"/>
    </font>
    <font>
      <sz val="10.0"/>
      <color theme="1"/>
      <name val="Century Gothic"/>
    </font>
    <font>
      <b/>
      <sz val="22.0"/>
      <color rgb="FF595959"/>
      <name val="Century Gothic"/>
    </font>
    <font>
      <u/>
      <color rgb="FFFFFFFF"/>
    </font>
    <font>
      <sz val="18.0"/>
      <color theme="1"/>
      <name val="Century Gothic"/>
    </font>
    <font>
      <sz val="14.0"/>
      <color theme="1"/>
      <name val="Century Gothic"/>
    </font>
    <font>
      <sz val="20.0"/>
      <color theme="1"/>
      <name val="Century Gothic"/>
    </font>
    <font>
      <b/>
      <sz val="13.0"/>
      <color theme="1"/>
      <name val="Century Gothic"/>
    </font>
    <font>
      <sz val="22.0"/>
      <color theme="1"/>
      <name val="Century Gothic"/>
    </font>
    <font>
      <sz val="16.0"/>
      <color theme="1"/>
      <name val="Century Gothic"/>
    </font>
    <font>
      <b/>
      <sz val="10.0"/>
      <color theme="1"/>
      <name val="Century Gothic"/>
    </font>
    <font>
      <b/>
      <sz val="11.0"/>
      <color rgb="FF000000"/>
      <name val="Arial"/>
    </font>
    <font>
      <sz val="9.0"/>
      <color rgb="FF000000"/>
      <name val="Arial"/>
    </font>
    <font>
      <sz val="10.0"/>
      <color rgb="FF000000"/>
      <name val="Century Gothic"/>
    </font>
    <font>
      <b/>
      <sz val="10.0"/>
      <color rgb="FF000000"/>
      <name val="Century Gothic"/>
    </font>
    <font>
      <sz val="22.0"/>
      <color rgb="FF595959"/>
      <name val="Century Gothic"/>
    </font>
    <font>
      <b/>
      <sz val="20.0"/>
      <color rgb="FF7F7F7F"/>
      <name val="Century Gothic"/>
    </font>
    <font>
      <sz val="11.0"/>
      <color rgb="FF000000"/>
      <name val="Century Gothic"/>
    </font>
  </fonts>
  <fills count="26">
    <fill>
      <patternFill patternType="none"/>
    </fill>
    <fill>
      <patternFill patternType="lightGray"/>
    </fill>
    <fill>
      <patternFill patternType="solid">
        <fgColor rgb="FF00FFFF"/>
        <bgColor rgb="FF00FFFF"/>
      </patternFill>
    </fill>
    <fill>
      <patternFill patternType="solid">
        <fgColor rgb="FF073763"/>
        <bgColor rgb="FF073763"/>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
      <patternFill patternType="solid">
        <fgColor theme="0"/>
        <bgColor theme="0"/>
      </patternFill>
    </fill>
    <fill>
      <patternFill patternType="solid">
        <fgColor rgb="FF1C4587"/>
        <bgColor rgb="FF1C4587"/>
      </patternFill>
    </fill>
    <fill>
      <patternFill patternType="solid">
        <fgColor rgb="FFF9F9F9"/>
        <bgColor rgb="FFF9F9F9"/>
      </patternFill>
    </fill>
    <fill>
      <patternFill patternType="solid">
        <fgColor rgb="FFF2F2F2"/>
        <bgColor rgb="FFF2F2F2"/>
      </patternFill>
    </fill>
    <fill>
      <patternFill patternType="solid">
        <fgColor rgb="FFDCFFFF"/>
        <bgColor rgb="FFDCFFFF"/>
      </patternFill>
    </fill>
    <fill>
      <patternFill patternType="solid">
        <fgColor rgb="FFB3D9FF"/>
        <bgColor rgb="FFB3D9FF"/>
      </patternFill>
    </fill>
    <fill>
      <patternFill patternType="solid">
        <fgColor rgb="FFE0F0FF"/>
        <bgColor rgb="FFE0F0FF"/>
      </patternFill>
    </fill>
    <fill>
      <patternFill patternType="solid">
        <fgColor rgb="FFCCE6FF"/>
        <bgColor rgb="FFCCE6FF"/>
      </patternFill>
    </fill>
    <fill>
      <patternFill patternType="solid">
        <fgColor rgb="FFD8D8D8"/>
        <bgColor rgb="FFD8D8D8"/>
      </patternFill>
    </fill>
    <fill>
      <patternFill patternType="solid">
        <fgColor rgb="FFD76DCC"/>
        <bgColor rgb="FFD76DCC"/>
      </patternFill>
    </fill>
    <fill>
      <patternFill patternType="solid">
        <fgColor rgb="FF59ADFE"/>
        <bgColor rgb="FF59ADFE"/>
      </patternFill>
    </fill>
    <fill>
      <patternFill patternType="solid">
        <fgColor rgb="FFABEFEA"/>
        <bgColor rgb="FFABEFEA"/>
      </patternFill>
    </fill>
    <fill>
      <patternFill patternType="solid">
        <fgColor rgb="FF5EE9E7"/>
        <bgColor rgb="FF5EE9E7"/>
      </patternFill>
    </fill>
    <fill>
      <patternFill patternType="solid">
        <fgColor rgb="FF60CBF3"/>
        <bgColor rgb="FF60CBF3"/>
      </patternFill>
    </fill>
    <fill>
      <patternFill patternType="solid">
        <fgColor rgb="FF00EAF0"/>
        <bgColor rgb="FF00EAF0"/>
      </patternFill>
    </fill>
    <fill>
      <patternFill patternType="solid">
        <fgColor rgb="FF00BD32"/>
        <bgColor rgb="FF00BD32"/>
      </patternFill>
    </fill>
    <fill>
      <patternFill patternType="solid">
        <fgColor rgb="FFFFC000"/>
        <bgColor rgb="FFFFC000"/>
      </patternFill>
    </fill>
    <fill>
      <patternFill patternType="solid">
        <fgColor rgb="FFFF0000"/>
        <bgColor rgb="FFFF0000"/>
      </patternFill>
    </fill>
    <fill>
      <patternFill patternType="solid">
        <fgColor rgb="FFB6FBF5"/>
        <bgColor rgb="FFB6FBF5"/>
      </patternFill>
    </fill>
  </fills>
  <borders count="40">
    <border/>
    <border>
      <left style="thin">
        <color rgb="FF073763"/>
      </left>
      <top style="thin">
        <color rgb="FF073763"/>
      </top>
    </border>
    <border>
      <left style="thin">
        <color rgb="FF000000"/>
      </left>
      <right style="thin">
        <color rgb="FF000000"/>
      </right>
      <top style="thin">
        <color rgb="FF000000"/>
      </top>
    </border>
    <border>
      <left style="thin">
        <color rgb="FF073763"/>
      </left>
    </border>
    <border>
      <left style="thin">
        <color rgb="FF000000"/>
      </left>
      <right style="thin">
        <color rgb="FF000000"/>
      </right>
    </border>
    <border>
      <left style="thin">
        <color rgb="FF073763"/>
      </left>
      <bottom style="thin">
        <color rgb="FF073763"/>
      </bottom>
    </border>
    <border>
      <left style="thin">
        <color rgb="FF000000"/>
      </left>
      <right style="thin">
        <color rgb="FF000000"/>
      </right>
      <bottom style="thin">
        <color rgb="FF000000"/>
      </bottom>
    </border>
    <border>
      <left style="medium">
        <color rgb="FF156082"/>
      </left>
      <top style="medium">
        <color rgb="FF156082"/>
      </top>
      <bottom style="medium">
        <color rgb="FF156082"/>
      </bottom>
    </border>
    <border>
      <right style="medium">
        <color rgb="FF156082"/>
      </right>
      <top style="medium">
        <color rgb="FF156082"/>
      </top>
      <bottom style="medium">
        <color rgb="FF156082"/>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EFEFEF"/>
      </left>
      <right style="thin">
        <color rgb="FFEFEFEF"/>
      </right>
      <top style="thin">
        <color rgb="FFEFEFEF"/>
      </top>
      <bottom style="thin">
        <color rgb="FFEFEFEF"/>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n">
        <color rgb="FFEFEFEF"/>
      </left>
      <top style="thin">
        <color rgb="FFEFEFEF"/>
      </top>
      <bottom style="thin">
        <color rgb="FFEFEFEF"/>
      </bottom>
    </border>
    <border>
      <top style="thin">
        <color rgb="FFEFEFEF"/>
      </top>
      <bottom style="thin">
        <color rgb="FFEFEFEF"/>
      </bottom>
    </border>
    <border>
      <right style="thin">
        <color rgb="FFEFEFEF"/>
      </right>
      <top style="thin">
        <color rgb="FFEFEFEF"/>
      </top>
      <bottom style="thin">
        <color rgb="FFEFEFEF"/>
      </bottom>
    </border>
    <border>
      <left/>
      <right/>
      <top/>
      <bottom/>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left style="thin">
        <color rgb="FFBFBFBF"/>
      </left>
      <right style="thin">
        <color rgb="FFBFBFBF"/>
      </right>
      <top style="thin">
        <color rgb="FFBFBFBF"/>
      </top>
      <bottom style="medium">
        <color rgb="FFBFBFBF"/>
      </bottom>
    </border>
    <border>
      <left style="thin">
        <color rgb="FFBFBFBF"/>
      </left>
      <right style="thin">
        <color rgb="FFBFBFBF"/>
      </right>
      <top style="thin">
        <color rgb="FFBFBFBF"/>
      </top>
    </border>
    <border>
      <left style="thin">
        <color rgb="FFBFBFBF"/>
      </left>
      <right style="thin">
        <color rgb="FFBFBFBF"/>
      </right>
      <top style="thin">
        <color rgb="FFBFBFBF"/>
      </top>
      <bottom style="thin">
        <color rgb="FFBFBFBF"/>
      </bottom>
    </border>
    <border>
      <lef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right style="thin">
        <color rgb="FFBFBFBF"/>
      </right>
      <top style="thin">
        <color rgb="FFBFBFBF"/>
      </top>
      <bottom style="thin">
        <color rgb="FFBFBFBF"/>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BFBFBF"/>
      </left>
      <right style="thin">
        <color rgb="FFBFBFBF"/>
      </right>
      <top/>
      <bottom style="thin">
        <color rgb="FFBFBFBF"/>
      </bottom>
    </border>
    <border>
      <left style="thin">
        <color rgb="FFBFBFBF"/>
      </left>
      <right style="thin">
        <color rgb="FFBFBFBF"/>
      </right>
      <top style="thick">
        <color rgb="FFBFBFBF"/>
      </top>
      <bottom style="thin">
        <color rgb="FFBFBFBF"/>
      </bottom>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vertical="bottom"/>
    </xf>
    <xf borderId="0" fillId="0" fontId="2" numFmtId="0" xfId="0" applyAlignment="1" applyFont="1">
      <alignment horizontal="center" vertical="bottom"/>
    </xf>
    <xf borderId="1" fillId="2" fontId="3" numFmtId="0" xfId="0" applyAlignment="1" applyBorder="1" applyFill="1" applyFont="1">
      <alignment vertical="bottom"/>
    </xf>
    <xf borderId="2" fillId="0" fontId="3" numFmtId="0" xfId="0" applyAlignment="1" applyBorder="1" applyFont="1">
      <alignment horizontal="left" readingOrder="0" vertical="bottom"/>
    </xf>
    <xf borderId="0" fillId="0" fontId="1" numFmtId="0" xfId="0" applyAlignment="1" applyFont="1">
      <alignment readingOrder="0" vertical="bottom"/>
    </xf>
    <xf borderId="3" fillId="2" fontId="3" numFmtId="0" xfId="0" applyAlignment="1" applyBorder="1" applyFont="1">
      <alignment vertical="bottom"/>
    </xf>
    <xf borderId="4" fillId="0" fontId="3" numFmtId="0" xfId="0" applyAlignment="1" applyBorder="1" applyFont="1">
      <alignment horizontal="left" readingOrder="0" shrinkToFit="0" vertical="bottom" wrapText="1"/>
    </xf>
    <xf borderId="4" fillId="0" fontId="3" numFmtId="0" xfId="0" applyAlignment="1" applyBorder="1" applyFont="1">
      <alignment horizontal="left" readingOrder="0" vertical="bottom"/>
    </xf>
    <xf borderId="3" fillId="2" fontId="3" numFmtId="0" xfId="0" applyAlignment="1" applyBorder="1" applyFont="1">
      <alignment readingOrder="0" vertical="bottom"/>
    </xf>
    <xf borderId="5" fillId="3" fontId="4" numFmtId="0" xfId="0" applyAlignment="1" applyBorder="1" applyFill="1" applyFont="1">
      <alignment readingOrder="0"/>
    </xf>
    <xf borderId="6" fillId="0" fontId="3" numFmtId="0" xfId="0" applyAlignment="1" applyBorder="1" applyFont="1">
      <alignment horizontal="left" readingOrder="0" vertical="bottom"/>
    </xf>
    <xf borderId="0" fillId="0" fontId="1" numFmtId="0" xfId="0" applyFont="1"/>
    <xf borderId="5" fillId="3" fontId="5" numFmtId="0" xfId="0" applyAlignment="1" applyBorder="1" applyFont="1">
      <alignment readingOrder="0"/>
    </xf>
    <xf borderId="0" fillId="0" fontId="6" numFmtId="0" xfId="0" applyAlignment="1" applyFont="1">
      <alignment vertical="bottom"/>
    </xf>
    <xf borderId="0" fillId="0" fontId="6" numFmtId="0" xfId="0" applyAlignment="1" applyFont="1">
      <alignment readingOrder="0" vertical="center"/>
    </xf>
    <xf borderId="0" fillId="0" fontId="1" numFmtId="0" xfId="0" applyAlignment="1" applyFont="1">
      <alignment vertical="center"/>
    </xf>
    <xf borderId="0" fillId="4" fontId="7" numFmtId="0" xfId="0" applyAlignment="1" applyFill="1" applyFont="1">
      <alignment readingOrder="0" shrinkToFit="0" vertical="center" wrapText="1"/>
    </xf>
    <xf borderId="0" fillId="0" fontId="1" numFmtId="0" xfId="0" applyAlignment="1" applyFont="1">
      <alignment horizontal="right" vertical="center"/>
    </xf>
    <xf borderId="0" fillId="0" fontId="6" numFmtId="0" xfId="0" applyAlignment="1" applyFont="1">
      <alignment readingOrder="0" vertical="bottom"/>
    </xf>
    <xf borderId="0" fillId="4" fontId="3" numFmtId="0" xfId="0" applyAlignment="1" applyFont="1">
      <alignment readingOrder="0" shrinkToFit="0" vertical="center" wrapText="1"/>
    </xf>
    <xf borderId="7" fillId="5" fontId="8" numFmtId="0" xfId="0" applyAlignment="1" applyBorder="1" applyFill="1" applyFont="1">
      <alignment horizontal="center" readingOrder="0" shrinkToFit="0" vertical="bottom" wrapText="1"/>
    </xf>
    <xf borderId="8" fillId="0" fontId="9" numFmtId="0" xfId="0" applyBorder="1" applyFont="1"/>
    <xf borderId="0" fillId="3" fontId="10" numFmtId="0" xfId="0" applyAlignment="1" applyFont="1">
      <alignment horizontal="left" readingOrder="0" shrinkToFit="0" wrapText="1"/>
    </xf>
    <xf borderId="0" fillId="0" fontId="1" numFmtId="0" xfId="0" applyAlignment="1" applyFont="1">
      <alignment horizontal="center" vertical="bottom"/>
    </xf>
    <xf borderId="0" fillId="0" fontId="6" numFmtId="0" xfId="0" applyAlignment="1" applyFont="1">
      <alignment vertical="center"/>
    </xf>
    <xf borderId="0" fillId="6" fontId="3" numFmtId="0" xfId="0" applyAlignment="1" applyFill="1" applyFont="1">
      <alignment readingOrder="0" shrinkToFit="0" vertical="center" wrapText="1"/>
    </xf>
    <xf borderId="0" fillId="6" fontId="7" numFmtId="0" xfId="0" applyAlignment="1" applyFont="1">
      <alignment readingOrder="0" shrinkToFit="0" vertical="center" wrapText="1"/>
    </xf>
    <xf borderId="0" fillId="4" fontId="3" numFmtId="0" xfId="0" applyAlignment="1" applyFont="1">
      <alignment readingOrder="0" shrinkToFit="0" wrapText="1"/>
    </xf>
    <xf borderId="0" fillId="0" fontId="6" numFmtId="0" xfId="0" applyAlignment="1" applyFont="1">
      <alignment horizontal="center" vertical="bottom"/>
    </xf>
    <xf borderId="0" fillId="6" fontId="11" numFmtId="0" xfId="0" applyAlignment="1" applyFont="1">
      <alignment horizontal="left" readingOrder="0" shrinkToFit="0" wrapText="1"/>
    </xf>
    <xf borderId="0" fillId="7" fontId="1" numFmtId="0" xfId="0" applyAlignment="1" applyFill="1" applyFont="1">
      <alignment vertical="bottom"/>
    </xf>
    <xf borderId="0" fillId="7" fontId="12" numFmtId="0" xfId="0" applyAlignment="1" applyFont="1">
      <alignment horizontal="left" readingOrder="0" shrinkToFit="0" wrapText="1"/>
    </xf>
    <xf borderId="0" fillId="6" fontId="11" numFmtId="0" xfId="0" applyAlignment="1" applyFont="1">
      <alignment horizontal="left" readingOrder="0" shrinkToFit="0" vertical="top" wrapText="1"/>
    </xf>
    <xf borderId="9" fillId="0" fontId="1" numFmtId="0" xfId="0" applyBorder="1" applyFont="1"/>
    <xf borderId="10" fillId="0" fontId="9" numFmtId="0" xfId="0" applyBorder="1" applyFont="1"/>
    <xf borderId="11" fillId="0" fontId="9" numFmtId="0" xfId="0" applyBorder="1" applyFont="1"/>
    <xf borderId="0" fillId="0" fontId="6" numFmtId="0" xfId="0" applyAlignment="1" applyFont="1">
      <alignment horizontal="center" readingOrder="0" vertical="bottom"/>
    </xf>
    <xf borderId="12" fillId="2" fontId="6" numFmtId="0" xfId="0" applyAlignment="1" applyBorder="1" applyFont="1">
      <alignment horizontal="center" vertical="center"/>
    </xf>
    <xf borderId="0" fillId="0" fontId="1" numFmtId="0" xfId="0" applyAlignment="1" applyFont="1">
      <alignment shrinkToFit="0" vertical="bottom" wrapText="1"/>
    </xf>
    <xf borderId="12" fillId="2" fontId="13" numFmtId="0" xfId="0" applyAlignment="1" applyBorder="1" applyFont="1">
      <alignment readingOrder="0" shrinkToFit="0" wrapText="1"/>
    </xf>
    <xf borderId="12" fillId="0" fontId="13" numFmtId="0" xfId="0" applyAlignment="1" applyBorder="1" applyFont="1">
      <alignment readingOrder="0" shrinkToFit="0" wrapText="1"/>
    </xf>
    <xf borderId="0" fillId="0" fontId="14" numFmtId="0" xfId="0" applyAlignment="1" applyFont="1">
      <alignment vertical="bottom"/>
    </xf>
    <xf borderId="0" fillId="0" fontId="2" numFmtId="0" xfId="0" applyAlignment="1" applyFont="1">
      <alignment vertical="bottom"/>
    </xf>
    <xf borderId="13" fillId="0" fontId="14" numFmtId="0" xfId="0" applyAlignment="1" applyBorder="1" applyFont="1">
      <alignment vertical="bottom"/>
    </xf>
    <xf borderId="14" fillId="0" fontId="9" numFmtId="0" xfId="0" applyBorder="1" applyFont="1"/>
    <xf borderId="15" fillId="0" fontId="9" numFmtId="0" xfId="0" applyBorder="1" applyFont="1"/>
    <xf borderId="16" fillId="0" fontId="9" numFmtId="0" xfId="0" applyBorder="1" applyFont="1"/>
    <xf borderId="17" fillId="0" fontId="9" numFmtId="0" xfId="0" applyBorder="1" applyFont="1"/>
    <xf borderId="18" fillId="0" fontId="9" numFmtId="0" xfId="0" applyBorder="1" applyFont="1"/>
    <xf borderId="19" fillId="0" fontId="15" numFmtId="0" xfId="0" applyAlignment="1" applyBorder="1" applyFont="1">
      <alignment shrinkToFit="0" vertical="bottom" wrapText="1"/>
    </xf>
    <xf borderId="20" fillId="0" fontId="9" numFmtId="0" xfId="0" applyBorder="1" applyFont="1"/>
    <xf borderId="19" fillId="0" fontId="15" numFmtId="0" xfId="0" applyAlignment="1" applyBorder="1" applyFont="1">
      <alignment vertical="bottom"/>
    </xf>
    <xf borderId="0" fillId="0" fontId="16" numFmtId="0" xfId="0" applyAlignment="1" applyFont="1">
      <alignment horizontal="center" readingOrder="0"/>
    </xf>
    <xf borderId="12" fillId="8" fontId="17" numFmtId="0" xfId="0" applyAlignment="1" applyBorder="1" applyFill="1" applyFont="1">
      <alignment readingOrder="0"/>
    </xf>
    <xf borderId="12" fillId="0" fontId="13" numFmtId="0" xfId="0" applyBorder="1" applyFont="1"/>
    <xf borderId="21" fillId="0" fontId="16" numFmtId="0" xfId="0" applyAlignment="1" applyBorder="1" applyFont="1">
      <alignment horizontal="center" readingOrder="0"/>
    </xf>
    <xf borderId="22" fillId="0" fontId="9" numFmtId="0" xfId="0" applyBorder="1" applyFont="1"/>
    <xf borderId="23" fillId="0" fontId="9" numFmtId="0" xfId="0" applyBorder="1" applyFont="1"/>
    <xf borderId="21" fillId="8" fontId="17" numFmtId="0" xfId="0" applyAlignment="1" applyBorder="1" applyFont="1">
      <alignment horizontal="center" readingOrder="0" vertical="center"/>
    </xf>
    <xf borderId="12" fillId="8" fontId="17" numFmtId="0" xfId="0" applyAlignment="1" applyBorder="1" applyFont="1">
      <alignment horizontal="center" readingOrder="0" vertical="center"/>
    </xf>
    <xf borderId="21" fillId="0" fontId="13" numFmtId="0" xfId="0" applyAlignment="1" applyBorder="1" applyFont="1">
      <alignment vertical="center"/>
    </xf>
    <xf borderId="21" fillId="0" fontId="13" numFmtId="0" xfId="0" applyAlignment="1" applyBorder="1" applyFont="1">
      <alignment readingOrder="0" vertical="center"/>
    </xf>
    <xf borderId="12" fillId="0" fontId="13" numFmtId="0" xfId="0" applyAlignment="1" applyBorder="1" applyFont="1">
      <alignment vertical="center"/>
    </xf>
    <xf borderId="21" fillId="8" fontId="17" numFmtId="0" xfId="0" applyAlignment="1" applyBorder="1" applyFont="1">
      <alignment horizontal="center" readingOrder="0"/>
    </xf>
    <xf borderId="21" fillId="0" fontId="13" numFmtId="0" xfId="0" applyAlignment="1" applyBorder="1" applyFont="1">
      <alignment readingOrder="0" shrinkToFit="0" vertical="center" wrapText="1"/>
    </xf>
    <xf borderId="21" fillId="0" fontId="18" numFmtId="0" xfId="0" applyAlignment="1" applyBorder="1" applyFont="1">
      <alignment readingOrder="0" shrinkToFit="0" vertical="center" wrapText="1"/>
    </xf>
    <xf borderId="12" fillId="0" fontId="13" numFmtId="0" xfId="0" applyAlignment="1" applyBorder="1" applyFont="1">
      <alignment shrinkToFit="0" vertical="center" wrapText="1"/>
    </xf>
    <xf borderId="0" fillId="0" fontId="13" numFmtId="0" xfId="0" applyAlignment="1" applyFont="1">
      <alignment shrinkToFit="0" vertical="center" wrapText="1"/>
    </xf>
    <xf borderId="21" fillId="3" fontId="17" numFmtId="0" xfId="0" applyAlignment="1" applyBorder="1" applyFont="1">
      <alignment horizontal="center" readingOrder="0"/>
    </xf>
    <xf borderId="21" fillId="0" fontId="13" numFmtId="0" xfId="0" applyBorder="1" applyFont="1"/>
    <xf borderId="24" fillId="7" fontId="19" numFmtId="0" xfId="0" applyAlignment="1" applyBorder="1" applyFont="1">
      <alignment shrinkToFit="0" wrapText="1"/>
    </xf>
    <xf borderId="24" fillId="7" fontId="20" numFmtId="0" xfId="0" applyAlignment="1" applyBorder="1" applyFont="1">
      <alignment readingOrder="0" vertical="center"/>
    </xf>
    <xf borderId="0" fillId="0" fontId="21" numFmtId="0" xfId="0" applyAlignment="1" applyFont="1">
      <alignment readingOrder="0"/>
    </xf>
    <xf borderId="24" fillId="7" fontId="19" numFmtId="0" xfId="0" applyAlignment="1" applyBorder="1" applyFont="1">
      <alignment shrinkToFit="0" vertical="center" wrapText="1"/>
    </xf>
    <xf borderId="24" fillId="7" fontId="12" numFmtId="0" xfId="0" applyAlignment="1" applyBorder="1" applyFont="1">
      <alignment readingOrder="0" shrinkToFit="0" vertical="center" wrapText="1"/>
    </xf>
    <xf borderId="24" fillId="7" fontId="12" numFmtId="0" xfId="0" applyAlignment="1" applyBorder="1" applyFont="1">
      <alignment horizontal="left" vertical="center"/>
    </xf>
    <xf borderId="24" fillId="7" fontId="12" numFmtId="0" xfId="0" applyAlignment="1" applyBorder="1" applyFont="1">
      <alignment shrinkToFit="0" vertical="center" wrapText="1"/>
    </xf>
    <xf borderId="24" fillId="7" fontId="12" numFmtId="0" xfId="0" applyAlignment="1" applyBorder="1" applyFont="1">
      <alignment horizontal="center" shrinkToFit="0" vertical="center" wrapText="1"/>
    </xf>
    <xf borderId="24" fillId="7" fontId="12" numFmtId="10" xfId="0" applyAlignment="1" applyBorder="1" applyFont="1" applyNumberFormat="1">
      <alignment horizontal="center" shrinkToFit="0" vertical="center" wrapText="1"/>
    </xf>
    <xf borderId="0" fillId="0" fontId="19" numFmtId="0" xfId="0" applyAlignment="1" applyFont="1">
      <alignment shrinkToFit="0" vertical="center" wrapText="1"/>
    </xf>
    <xf borderId="25" fillId="9" fontId="22" numFmtId="0" xfId="0" applyAlignment="1" applyBorder="1" applyFill="1" applyFont="1">
      <alignment horizontal="left" readingOrder="0" vertical="center"/>
    </xf>
    <xf borderId="26" fillId="0" fontId="9" numFmtId="0" xfId="0" applyBorder="1" applyFont="1"/>
    <xf borderId="27" fillId="0" fontId="9" numFmtId="0" xfId="0" applyBorder="1" applyFont="1"/>
    <xf borderId="28" fillId="10" fontId="23" numFmtId="164" xfId="0" applyAlignment="1" applyBorder="1" applyFill="1" applyFont="1" applyNumberFormat="1">
      <alignment horizontal="center" readingOrder="0" shrinkToFit="0" vertical="center" wrapText="1"/>
    </xf>
    <xf borderId="28" fillId="11" fontId="23" numFmtId="0" xfId="0" applyAlignment="1" applyBorder="1" applyFill="1" applyFont="1">
      <alignment horizontal="center" shrinkToFit="0" vertical="center" wrapText="1"/>
    </xf>
    <xf borderId="28" fillId="0" fontId="23" numFmtId="9" xfId="0" applyAlignment="1" applyBorder="1" applyFont="1" applyNumberFormat="1">
      <alignment horizontal="center" readingOrder="0" shrinkToFit="0" vertical="center" wrapText="1"/>
    </xf>
    <xf borderId="0" fillId="0" fontId="19" numFmtId="0" xfId="0" applyAlignment="1" applyFont="1">
      <alignment shrinkToFit="0" wrapText="1"/>
    </xf>
    <xf borderId="24" fillId="7" fontId="24" numFmtId="0" xfId="0" applyAlignment="1" applyBorder="1" applyFont="1">
      <alignment readingOrder="0" vertical="center"/>
    </xf>
    <xf borderId="24" fillId="7" fontId="25" numFmtId="0" xfId="0" applyAlignment="1" applyBorder="1" applyFont="1">
      <alignment vertical="center"/>
    </xf>
    <xf borderId="24" fillId="7" fontId="25" numFmtId="165" xfId="0" applyAlignment="1" applyBorder="1" applyFont="1" applyNumberFormat="1">
      <alignment horizontal="center" shrinkToFit="0" vertical="center" wrapText="1"/>
    </xf>
    <xf borderId="24" fillId="7" fontId="25" numFmtId="0" xfId="0" applyAlignment="1" applyBorder="1" applyFont="1">
      <alignment horizontal="center" shrinkToFit="0" vertical="center" wrapText="1"/>
    </xf>
    <xf borderId="24" fillId="7" fontId="25" numFmtId="9" xfId="0" applyAlignment="1" applyBorder="1" applyFont="1" applyNumberFormat="1">
      <alignment horizontal="center" shrinkToFit="0" vertical="center" wrapText="1"/>
    </xf>
    <xf borderId="24" fillId="7" fontId="26" numFmtId="0" xfId="0" applyAlignment="1" applyBorder="1" applyFont="1">
      <alignment shrinkToFit="0" vertical="center" wrapText="1"/>
    </xf>
    <xf borderId="24" fillId="7" fontId="27" numFmtId="0" xfId="0" applyAlignment="1" applyBorder="1" applyFont="1">
      <alignment shrinkToFit="0" vertical="center" wrapText="1"/>
    </xf>
    <xf borderId="24" fillId="7" fontId="19" numFmtId="0" xfId="0" applyAlignment="1" applyBorder="1" applyFont="1">
      <alignment horizontal="left" shrinkToFit="0" vertical="center" wrapText="1"/>
    </xf>
    <xf borderId="29" fillId="12" fontId="28" numFmtId="0" xfId="0" applyAlignment="1" applyBorder="1" applyFill="1" applyFont="1">
      <alignment horizontal="left" readingOrder="0" shrinkToFit="0" vertical="center" wrapText="1"/>
    </xf>
    <xf borderId="29" fillId="12" fontId="28" numFmtId="0" xfId="0" applyAlignment="1" applyBorder="1" applyFont="1">
      <alignment horizontal="center" readingOrder="0" shrinkToFit="0" vertical="center" wrapText="1"/>
    </xf>
    <xf borderId="30" fillId="12" fontId="28" numFmtId="0" xfId="0" applyAlignment="1" applyBorder="1" applyFont="1">
      <alignment horizontal="center" readingOrder="0" shrinkToFit="0" vertical="center" wrapText="1"/>
    </xf>
    <xf borderId="30" fillId="12" fontId="28" numFmtId="0" xfId="0" applyAlignment="1" applyBorder="1" applyFont="1">
      <alignment horizontal="left" shrinkToFit="0" vertical="center" wrapText="1"/>
    </xf>
    <xf borderId="30" fillId="12" fontId="28" numFmtId="0" xfId="0" applyAlignment="1" applyBorder="1" applyFont="1">
      <alignment horizontal="left" readingOrder="0" shrinkToFit="0" vertical="center" wrapText="1"/>
    </xf>
    <xf borderId="31" fillId="7" fontId="19" numFmtId="0" xfId="0" applyAlignment="1" applyBorder="1" applyFont="1">
      <alignment horizontal="left" shrinkToFit="0" vertical="center" wrapText="1"/>
    </xf>
    <xf borderId="32" fillId="13" fontId="29" numFmtId="0" xfId="0" applyAlignment="1" applyBorder="1" applyFill="1" applyFont="1">
      <alignment horizontal="center" shrinkToFit="0" vertical="center" wrapText="1"/>
    </xf>
    <xf borderId="33" fillId="0" fontId="9" numFmtId="0" xfId="0" applyBorder="1" applyFont="1"/>
    <xf borderId="34" fillId="0" fontId="9" numFmtId="0" xfId="0" applyBorder="1" applyFont="1"/>
    <xf borderId="35" fillId="13" fontId="28" numFmtId="166" xfId="0" applyAlignment="1" applyBorder="1" applyFont="1" applyNumberFormat="1">
      <alignment horizontal="center" readingOrder="0" shrinkToFit="0" vertical="center" wrapText="1"/>
    </xf>
    <xf borderId="30" fillId="14" fontId="28" numFmtId="1" xfId="0" applyAlignment="1" applyBorder="1" applyFill="1" applyFont="1" applyNumberFormat="1">
      <alignment horizontal="center" shrinkToFit="0" vertical="center" wrapText="1"/>
    </xf>
    <xf borderId="30" fillId="5" fontId="28" numFmtId="0" xfId="0" applyAlignment="1" applyBorder="1" applyFont="1">
      <alignment horizontal="left" readingOrder="0" shrinkToFit="0" vertical="center" wrapText="1"/>
    </xf>
    <xf borderId="30" fillId="0" fontId="28" numFmtId="0" xfId="0" applyAlignment="1" applyBorder="1" applyFont="1">
      <alignment horizontal="left" readingOrder="0" shrinkToFit="0" vertical="center" wrapText="1"/>
    </xf>
    <xf borderId="30" fillId="7" fontId="19" numFmtId="0" xfId="0" applyAlignment="1" applyBorder="1" applyFont="1">
      <alignment horizontal="left" shrinkToFit="0" vertical="center" wrapText="1"/>
    </xf>
    <xf borderId="0" fillId="0" fontId="19" numFmtId="0" xfId="0" applyAlignment="1" applyFont="1">
      <alignment horizontal="left" shrinkToFit="0" vertical="center" wrapText="1"/>
    </xf>
    <xf borderId="36" fillId="0" fontId="30" numFmtId="0" xfId="0" applyAlignment="1" applyBorder="1" applyFont="1">
      <alignment shrinkToFit="0" vertical="bottom" wrapText="1"/>
    </xf>
    <xf borderId="36" fillId="5" fontId="30" numFmtId="0" xfId="0" applyAlignment="1" applyBorder="1" applyFont="1">
      <alignment shrinkToFit="0" vertical="bottom" wrapText="1"/>
    </xf>
    <xf borderId="35" fillId="13" fontId="31" numFmtId="166" xfId="0" applyAlignment="1" applyBorder="1" applyFont="1" applyNumberFormat="1">
      <alignment horizontal="center" readingOrder="1" shrinkToFit="0" vertical="center" wrapText="1"/>
    </xf>
    <xf borderId="30" fillId="5" fontId="31" numFmtId="0" xfId="0" applyAlignment="1" applyBorder="1" applyFont="1">
      <alignment horizontal="left" readingOrder="1" shrinkToFit="0" vertical="center" wrapText="1"/>
    </xf>
    <xf borderId="30" fillId="0" fontId="31" numFmtId="0" xfId="0" applyAlignment="1" applyBorder="1" applyFont="1">
      <alignment horizontal="left" readingOrder="1" shrinkToFit="0" vertical="center" wrapText="1"/>
    </xf>
    <xf borderId="36" fillId="0" fontId="30" numFmtId="0" xfId="0" applyAlignment="1" applyBorder="1" applyFont="1">
      <alignment readingOrder="0" shrinkToFit="0" vertical="bottom" wrapText="1"/>
    </xf>
    <xf borderId="30" fillId="13" fontId="31" numFmtId="166" xfId="0" applyAlignment="1" applyBorder="1" applyFont="1" applyNumberFormat="1">
      <alignment horizontal="center" readingOrder="1" shrinkToFit="0" vertical="center" wrapText="1"/>
    </xf>
    <xf borderId="30" fillId="13" fontId="32" numFmtId="166" xfId="0" applyAlignment="1" applyBorder="1" applyFont="1" applyNumberFormat="1">
      <alignment horizontal="center" readingOrder="1" shrinkToFit="0" vertical="center" wrapText="1"/>
    </xf>
    <xf borderId="30" fillId="0" fontId="32" numFmtId="0" xfId="0" applyAlignment="1" applyBorder="1" applyFont="1">
      <alignment horizontal="left" readingOrder="1" shrinkToFit="0" vertical="center" wrapText="1"/>
    </xf>
    <xf borderId="30" fillId="7" fontId="28" numFmtId="0" xfId="0" applyAlignment="1" applyBorder="1" applyFont="1">
      <alignment horizontal="left" shrinkToFit="0" vertical="center" wrapText="1"/>
    </xf>
    <xf borderId="37" fillId="0" fontId="30" numFmtId="0" xfId="0" applyAlignment="1" applyBorder="1" applyFont="1">
      <alignment shrinkToFit="0" vertical="bottom" wrapText="1"/>
    </xf>
    <xf borderId="37" fillId="5" fontId="30" numFmtId="0" xfId="0" applyAlignment="1" applyBorder="1" applyFont="1">
      <alignment shrinkToFit="0" vertical="bottom" wrapText="1"/>
    </xf>
    <xf borderId="30" fillId="0" fontId="31" numFmtId="0" xfId="0" applyAlignment="1" applyBorder="1" applyFont="1">
      <alignment horizontal="left" readingOrder="1" shrinkToFit="0" vertical="center" wrapText="1"/>
    </xf>
    <xf borderId="24" fillId="7" fontId="27" numFmtId="0" xfId="0" applyAlignment="1" applyBorder="1" applyFont="1">
      <alignment readingOrder="0" shrinkToFit="0" vertical="center" wrapText="1"/>
    </xf>
    <xf borderId="0" fillId="0" fontId="19" numFmtId="0" xfId="0" applyAlignment="1" applyFont="1">
      <alignment horizontal="left" vertical="center"/>
    </xf>
    <xf borderId="30" fillId="15" fontId="19" numFmtId="0" xfId="0" applyAlignment="1" applyBorder="1" applyFill="1" applyFont="1">
      <alignment horizontal="left" vertical="center"/>
    </xf>
    <xf borderId="30" fillId="15" fontId="19" numFmtId="0" xfId="0" applyAlignment="1" applyBorder="1" applyFont="1">
      <alignment horizontal="center" vertical="center"/>
    </xf>
    <xf borderId="30" fillId="16" fontId="19" numFmtId="0" xfId="0" applyAlignment="1" applyBorder="1" applyFill="1" applyFont="1">
      <alignment horizontal="left" vertical="center"/>
    </xf>
    <xf borderId="30" fillId="0" fontId="19" numFmtId="167" xfId="0" applyAlignment="1" applyBorder="1" applyFont="1" applyNumberFormat="1">
      <alignment horizontal="left" vertical="center"/>
    </xf>
    <xf borderId="30" fillId="10" fontId="19" numFmtId="1" xfId="0" applyAlignment="1" applyBorder="1" applyFont="1" applyNumberFormat="1">
      <alignment horizontal="center" vertical="center"/>
    </xf>
    <xf borderId="30" fillId="10" fontId="19" numFmtId="9" xfId="0" applyAlignment="1" applyBorder="1" applyFont="1" applyNumberFormat="1">
      <alignment horizontal="center" vertical="center"/>
    </xf>
    <xf borderId="30" fillId="10" fontId="19" numFmtId="168" xfId="0" applyAlignment="1" applyBorder="1" applyFont="1" applyNumberFormat="1">
      <alignment horizontal="center" vertical="center"/>
    </xf>
    <xf borderId="28" fillId="17" fontId="19" numFmtId="0" xfId="0" applyAlignment="1" applyBorder="1" applyFill="1" applyFont="1">
      <alignment horizontal="left" vertical="center"/>
    </xf>
    <xf borderId="28" fillId="0" fontId="19" numFmtId="167" xfId="0" applyAlignment="1" applyBorder="1" applyFont="1" applyNumberFormat="1">
      <alignment horizontal="left" vertical="center"/>
    </xf>
    <xf borderId="30" fillId="7" fontId="31" numFmtId="0" xfId="0" applyAlignment="1" applyBorder="1" applyFont="1">
      <alignment horizontal="left" readingOrder="1" shrinkToFit="0" vertical="center" wrapText="1"/>
    </xf>
    <xf borderId="30" fillId="18" fontId="19" numFmtId="0" xfId="0" applyAlignment="1" applyBorder="1" applyFill="1" applyFont="1">
      <alignment horizontal="left" shrinkToFit="0" vertical="center" wrapText="1"/>
    </xf>
    <xf borderId="30" fillId="19" fontId="19" numFmtId="0" xfId="0" applyAlignment="1" applyBorder="1" applyFill="1" applyFont="1">
      <alignment horizontal="left" shrinkToFit="0" vertical="center" wrapText="1"/>
    </xf>
    <xf borderId="30" fillId="20" fontId="19" numFmtId="0" xfId="0" applyAlignment="1" applyBorder="1" applyFill="1" applyFont="1">
      <alignment horizontal="left" shrinkToFit="0" vertical="center" wrapText="1"/>
    </xf>
    <xf borderId="28" fillId="15" fontId="19" numFmtId="0" xfId="0" applyAlignment="1" applyBorder="1" applyFont="1">
      <alignment horizontal="left" shrinkToFit="0" vertical="center" wrapText="1"/>
    </xf>
    <xf borderId="28" fillId="10" fontId="19" numFmtId="1" xfId="0" applyAlignment="1" applyBorder="1" applyFont="1" applyNumberFormat="1">
      <alignment horizontal="center" vertical="center"/>
    </xf>
    <xf borderId="28" fillId="10" fontId="19" numFmtId="9" xfId="0" applyAlignment="1" applyBorder="1" applyFont="1" applyNumberFormat="1">
      <alignment horizontal="center" vertical="center"/>
    </xf>
    <xf borderId="28" fillId="10" fontId="19" numFmtId="168" xfId="0" applyAlignment="1" applyBorder="1" applyFont="1" applyNumberFormat="1">
      <alignment horizontal="center" vertical="center"/>
    </xf>
    <xf borderId="0" fillId="0" fontId="28" numFmtId="0" xfId="0" applyAlignment="1" applyFont="1">
      <alignment horizontal="right" vertical="center"/>
    </xf>
    <xf borderId="38" fillId="15" fontId="28" numFmtId="1" xfId="0" applyAlignment="1" applyBorder="1" applyFont="1" applyNumberFormat="1">
      <alignment horizontal="center" vertical="center"/>
    </xf>
    <xf borderId="38" fillId="15" fontId="28" numFmtId="9" xfId="0" applyAlignment="1" applyBorder="1" applyFont="1" applyNumberFormat="1">
      <alignment horizontal="center" vertical="center"/>
    </xf>
    <xf borderId="24" fillId="7" fontId="27" numFmtId="0" xfId="0" applyAlignment="1" applyBorder="1" applyFont="1">
      <alignment readingOrder="0" vertical="center"/>
    </xf>
    <xf borderId="30" fillId="17" fontId="19" numFmtId="0" xfId="0" applyAlignment="1" applyBorder="1" applyFont="1">
      <alignment horizontal="left" vertical="center"/>
    </xf>
    <xf borderId="30" fillId="0" fontId="19" numFmtId="3" xfId="0" applyAlignment="1" applyBorder="1" applyFont="1" applyNumberFormat="1">
      <alignment horizontal="left" readingOrder="0" vertical="center"/>
    </xf>
    <xf borderId="30" fillId="21" fontId="31" numFmtId="0" xfId="0" applyAlignment="1" applyBorder="1" applyFill="1" applyFont="1">
      <alignment horizontal="left" vertical="center"/>
    </xf>
    <xf borderId="30" fillId="22" fontId="19" numFmtId="0" xfId="0" applyAlignment="1" applyBorder="1" applyFill="1" applyFont="1">
      <alignment horizontal="left" vertical="center"/>
    </xf>
    <xf borderId="30" fillId="23" fontId="31" numFmtId="0" xfId="0" applyAlignment="1" applyBorder="1" applyFill="1" applyFont="1">
      <alignment horizontal="left" vertical="center"/>
    </xf>
    <xf borderId="30" fillId="23" fontId="19" numFmtId="0" xfId="0" applyAlignment="1" applyBorder="1" applyFont="1">
      <alignment horizontal="left" vertical="center"/>
    </xf>
    <xf borderId="30" fillId="0" fontId="19" numFmtId="3" xfId="0" applyAlignment="1" applyBorder="1" applyFont="1" applyNumberFormat="1">
      <alignment horizontal="left" vertical="center"/>
    </xf>
    <xf borderId="28" fillId="24" fontId="31" numFmtId="0" xfId="0" applyAlignment="1" applyBorder="1" applyFill="1" applyFont="1">
      <alignment horizontal="left" vertical="center"/>
    </xf>
    <xf borderId="24" fillId="7" fontId="33" numFmtId="0" xfId="0" applyAlignment="1" applyBorder="1" applyFont="1">
      <alignment vertical="center"/>
    </xf>
    <xf borderId="24" fillId="7" fontId="34" numFmtId="0" xfId="0" applyAlignment="1" applyBorder="1" applyFont="1">
      <alignment vertical="center"/>
    </xf>
    <xf borderId="39" fillId="15" fontId="28" numFmtId="0" xfId="0" applyAlignment="1" applyBorder="1" applyFont="1">
      <alignment horizontal="center" shrinkToFit="0" vertical="center" wrapText="1"/>
    </xf>
    <xf borderId="30" fillId="25" fontId="31" numFmtId="0" xfId="0" applyAlignment="1" applyBorder="1" applyFill="1" applyFont="1">
      <alignment horizontal="center" vertical="center"/>
    </xf>
    <xf borderId="30" fillId="15" fontId="31" numFmtId="0" xfId="0" applyAlignment="1" applyBorder="1" applyFont="1">
      <alignment horizontal="center" vertical="center"/>
    </xf>
    <xf borderId="30" fillId="24" fontId="31" numFmtId="0" xfId="0" applyAlignment="1" applyBorder="1" applyFont="1">
      <alignment horizontal="left" vertical="center"/>
    </xf>
    <xf borderId="0" fillId="0" fontId="35" numFmtId="0" xfId="0" applyFont="1"/>
    <xf borderId="30" fillId="15" fontId="19" numFmtId="0" xfId="0" applyAlignment="1" applyBorder="1" applyFont="1">
      <alignment horizontal="left" shrinkToFit="0" vertical="center" wrapText="1"/>
    </xf>
    <xf borderId="30" fillId="0" fontId="19" numFmtId="0" xfId="0" applyAlignment="1" applyBorder="1" applyFont="1">
      <alignment horizontal="left" shrinkToFit="0" vertical="center" wrapText="1"/>
    </xf>
  </cellXfs>
  <cellStyles count="1">
    <cellStyle xfId="0" name="Normal" builtinId="0"/>
  </cellStyles>
  <dxfs count="15">
    <dxf>
      <font/>
      <fill>
        <patternFill patternType="solid">
          <fgColor rgb="FF5EE9E7"/>
          <bgColor rgb="FF5EE9E7"/>
        </patternFill>
      </fill>
      <border/>
    </dxf>
    <dxf>
      <font/>
      <fill>
        <patternFill patternType="solid">
          <fgColor rgb="FFABEFEA"/>
          <bgColor rgb="FFABEFEA"/>
        </patternFill>
      </fill>
      <border/>
    </dxf>
    <dxf>
      <font/>
      <fill>
        <patternFill patternType="solid">
          <fgColor rgb="FFFECBFF"/>
          <bgColor rgb="FFFECBFF"/>
        </patternFill>
      </fill>
      <border/>
    </dxf>
    <dxf>
      <font/>
      <fill>
        <patternFill patternType="solid">
          <fgColor rgb="FFD8D8D8"/>
          <bgColor rgb="FFD8D8D8"/>
        </patternFill>
      </fill>
      <border/>
    </dxf>
    <dxf>
      <font/>
      <fill>
        <patternFill patternType="solid">
          <fgColor rgb="FFFFD324"/>
          <bgColor rgb="FFFFD324"/>
        </patternFill>
      </fill>
      <border/>
    </dxf>
    <dxf>
      <font>
        <color rgb="FF000000"/>
      </font>
      <fill>
        <patternFill patternType="solid">
          <fgColor rgb="FF03DB67"/>
          <bgColor rgb="FF03DB67"/>
        </patternFill>
      </fill>
      <border/>
    </dxf>
    <dxf>
      <font>
        <color rgb="FF000000"/>
      </font>
      <fill>
        <patternFill patternType="solid">
          <fgColor rgb="FFB7EC33"/>
          <bgColor rgb="FFB7EC33"/>
        </patternFill>
      </fill>
      <border/>
    </dxf>
    <dxf>
      <font>
        <color rgb="FF000000"/>
      </font>
      <fill>
        <patternFill patternType="solid">
          <fgColor rgb="FF00EAF0"/>
          <bgColor rgb="FF00EAF0"/>
        </patternFill>
      </fill>
      <border/>
    </dxf>
    <dxf>
      <font>
        <color rgb="FF000000"/>
      </font>
      <fill>
        <patternFill patternType="solid">
          <fgColor rgb="FFFFC000"/>
          <bgColor rgb="FFFFC000"/>
        </patternFill>
      </fill>
      <border/>
    </dxf>
    <dxf>
      <font>
        <color rgb="FF000000"/>
      </font>
      <fill>
        <patternFill patternType="solid">
          <fgColor rgb="FFFF5039"/>
          <bgColor rgb="FFFF5039"/>
        </patternFill>
      </fill>
      <border/>
    </dxf>
    <dxf>
      <font>
        <color theme="1"/>
      </font>
      <fill>
        <patternFill patternType="solid">
          <fgColor rgb="FF00EAF0"/>
          <bgColor rgb="FF00EAF0"/>
        </patternFill>
      </fill>
      <border/>
    </dxf>
    <dxf>
      <font>
        <color theme="1"/>
      </font>
      <fill>
        <patternFill patternType="solid">
          <fgColor rgb="FFFFC000"/>
          <bgColor rgb="FFFFC000"/>
        </patternFill>
      </fill>
      <border/>
    </dxf>
    <dxf>
      <font>
        <color theme="1"/>
      </font>
      <fill>
        <patternFill patternType="solid">
          <fgColor rgb="FFFF5039"/>
          <bgColor rgb="FFFF5039"/>
        </patternFill>
      </fill>
      <border/>
    </dxf>
    <dxf>
      <font>
        <color theme="1"/>
      </font>
      <fill>
        <patternFill patternType="solid">
          <fgColor rgb="FF03DB67"/>
          <bgColor rgb="FF03DB67"/>
        </patternFill>
      </fill>
      <border/>
    </dxf>
    <dxf>
      <font>
        <color theme="1"/>
      </font>
      <fill>
        <patternFill patternType="solid">
          <fgColor rgb="FFB7EC33"/>
          <bgColor rgb="FFB7EC3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v>START 
DATE</c:v>
          </c:tx>
          <c:spPr>
            <a:solidFill>
              <a:schemeClr val="lt1"/>
            </a:solidFill>
            <a:ln cmpd="sng">
              <a:solidFill>
                <a:srgbClr val="000000"/>
              </a:solidFill>
            </a:ln>
          </c:spPr>
          <c:cat>
            <c:strRef>
              <c:f>'Plan de trabajo'!$B$11:$B$84</c:f>
            </c:strRef>
          </c:cat>
          <c:val>
            <c:numRef>
              <c:f>'Plan de trabajo'!$E$11:$E$84</c:f>
              <c:numCache/>
            </c:numRef>
          </c:val>
        </c:ser>
        <c:ser>
          <c:idx val="1"/>
          <c:order val="1"/>
          <c:tx>
            <c:v>DURATION 
in days</c:v>
          </c:tx>
          <c:spPr>
            <a:solidFill>
              <a:srgbClr val="03C15A">
                <a:alpha val="78823"/>
              </a:srgbClr>
            </a:solidFill>
            <a:ln cmpd="sng">
              <a:solidFill>
                <a:srgbClr val="000000"/>
              </a:solidFill>
            </a:ln>
          </c:spPr>
          <c:dPt>
            <c:idx val="1"/>
            <c:spPr>
              <a:solidFill>
                <a:schemeClr val="accent5"/>
              </a:solidFill>
              <a:ln cmpd="sng">
                <a:solidFill>
                  <a:srgbClr val="000000"/>
                </a:solidFill>
              </a:ln>
            </c:spPr>
          </c:dPt>
          <c:dPt>
            <c:idx val="2"/>
            <c:spPr>
              <a:solidFill>
                <a:schemeClr val="accent5"/>
              </a:solidFill>
              <a:ln cmpd="sng">
                <a:solidFill>
                  <a:srgbClr val="000000"/>
                </a:solidFill>
              </a:ln>
            </c:spPr>
          </c:dPt>
          <c:dPt>
            <c:idx val="3"/>
            <c:spPr>
              <a:solidFill>
                <a:schemeClr val="accent5"/>
              </a:solidFill>
              <a:ln cmpd="sng">
                <a:solidFill>
                  <a:srgbClr val="000000"/>
                </a:solidFill>
              </a:ln>
            </c:spPr>
          </c:dPt>
          <c:dPt>
            <c:idx val="4"/>
            <c:spPr>
              <a:solidFill>
                <a:schemeClr val="accent5"/>
              </a:solidFill>
              <a:ln cmpd="sng">
                <a:solidFill>
                  <a:srgbClr val="000000"/>
                </a:solidFill>
              </a:ln>
            </c:spPr>
          </c:dPt>
          <c:dPt>
            <c:idx val="5"/>
            <c:spPr>
              <a:solidFill>
                <a:schemeClr val="accent3"/>
              </a:solidFill>
              <a:ln cmpd="sng">
                <a:solidFill>
                  <a:srgbClr val="000000"/>
                </a:solidFill>
              </a:ln>
            </c:spPr>
          </c:dPt>
          <c:dPt>
            <c:idx val="6"/>
            <c:spPr>
              <a:solidFill>
                <a:schemeClr val="accent3"/>
              </a:solidFill>
              <a:ln cmpd="sng">
                <a:solidFill>
                  <a:srgbClr val="000000"/>
                </a:solidFill>
              </a:ln>
            </c:spPr>
          </c:dPt>
          <c:dPt>
            <c:idx val="7"/>
            <c:spPr>
              <a:solidFill>
                <a:schemeClr val="accent3"/>
              </a:solidFill>
              <a:ln cmpd="sng">
                <a:solidFill>
                  <a:srgbClr val="000000"/>
                </a:solidFill>
              </a:ln>
            </c:spPr>
          </c:dPt>
          <c:dPt>
            <c:idx val="8"/>
            <c:spPr>
              <a:solidFill>
                <a:srgbClr val="FFC021">
                  <a:alpha val="78823"/>
                </a:srgbClr>
              </a:solidFill>
              <a:ln cmpd="sng">
                <a:solidFill>
                  <a:srgbClr val="000000"/>
                </a:solidFill>
              </a:ln>
            </c:spPr>
          </c:dPt>
          <c:dPt>
            <c:idx val="9"/>
            <c:spPr>
              <a:solidFill>
                <a:schemeClr val="accent4"/>
              </a:solidFill>
              <a:ln cmpd="sng">
                <a:solidFill>
                  <a:srgbClr val="000000"/>
                </a:solidFill>
              </a:ln>
            </c:spPr>
          </c:dPt>
          <c:dPt>
            <c:idx val="10"/>
            <c:spPr>
              <a:solidFill>
                <a:schemeClr val="accent4"/>
              </a:solidFill>
              <a:ln cmpd="sng">
                <a:solidFill>
                  <a:srgbClr val="000000"/>
                </a:solidFill>
              </a:ln>
            </c:spPr>
          </c:dPt>
          <c:dPt>
            <c:idx val="11"/>
            <c:spPr>
              <a:solidFill>
                <a:srgbClr val="81D6F0">
                  <a:alpha val="78823"/>
                </a:srgbClr>
              </a:solidFill>
              <a:ln cmpd="sng">
                <a:solidFill>
                  <a:srgbClr val="000000"/>
                </a:solidFill>
              </a:ln>
            </c:spPr>
          </c:dPt>
          <c:dPt>
            <c:idx val="12"/>
            <c:spPr>
              <a:solidFill>
                <a:schemeClr val="accent4"/>
              </a:solidFill>
              <a:ln cmpd="sng">
                <a:solidFill>
                  <a:srgbClr val="000000"/>
                </a:solidFill>
              </a:ln>
            </c:spPr>
          </c:dPt>
          <c:dPt>
            <c:idx val="13"/>
            <c:spPr>
              <a:solidFill>
                <a:schemeClr val="accent4"/>
              </a:solidFill>
              <a:ln cmpd="sng">
                <a:solidFill>
                  <a:srgbClr val="000000"/>
                </a:solidFill>
              </a:ln>
            </c:spPr>
          </c:dPt>
          <c:dPt>
            <c:idx val="14"/>
            <c:spPr>
              <a:solidFill>
                <a:srgbClr val="00B0F0">
                  <a:alpha val="78823"/>
                </a:srgbClr>
              </a:solidFill>
              <a:ln cmpd="sng">
                <a:solidFill>
                  <a:srgbClr val="000000"/>
                </a:solidFill>
              </a:ln>
            </c:spPr>
          </c:dPt>
          <c:dPt>
            <c:idx val="15"/>
            <c:spPr>
              <a:solidFill>
                <a:srgbClr val="00B0F0">
                  <a:alpha val="78823"/>
                </a:srgbClr>
              </a:solidFill>
              <a:ln cmpd="sng">
                <a:solidFill>
                  <a:srgbClr val="000000"/>
                </a:solidFill>
              </a:ln>
            </c:spPr>
          </c:dPt>
          <c:dPt>
            <c:idx val="16"/>
            <c:spPr>
              <a:solidFill>
                <a:srgbClr val="00B0F0">
                  <a:alpha val="78823"/>
                </a:srgbClr>
              </a:solidFill>
              <a:ln cmpd="sng">
                <a:solidFill>
                  <a:srgbClr val="000000"/>
                </a:solidFill>
              </a:ln>
            </c:spPr>
          </c:dPt>
          <c:dPt>
            <c:idx val="17"/>
            <c:spPr>
              <a:solidFill>
                <a:srgbClr val="00B0F0">
                  <a:alpha val="78823"/>
                </a:srgbClr>
              </a:solidFill>
              <a:ln cmpd="sng">
                <a:solidFill>
                  <a:srgbClr val="000000"/>
                </a:solidFill>
              </a:ln>
            </c:spPr>
          </c:dPt>
          <c:dPt>
            <c:idx val="18"/>
            <c:spPr>
              <a:solidFill>
                <a:srgbClr val="00B0F0">
                  <a:alpha val="78823"/>
                </a:srgbClr>
              </a:solidFill>
              <a:ln cmpd="sng">
                <a:solidFill>
                  <a:srgbClr val="000000"/>
                </a:solidFill>
              </a:ln>
            </c:spPr>
          </c:dPt>
          <c:cat>
            <c:strRef>
              <c:f>'Plan de trabajo'!$B$11:$B$84</c:f>
            </c:strRef>
          </c:cat>
          <c:val>
            <c:numRef>
              <c:f>'Plan de trabajo'!$G$11:$G$84</c:f>
              <c:numCache/>
            </c:numRef>
          </c:val>
        </c:ser>
        <c:overlap val="100"/>
        <c:axId val="127608124"/>
        <c:axId val="1866620560"/>
      </c:barChart>
      <c:catAx>
        <c:axId val="12760812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1000">
                <a:solidFill>
                  <a:srgbClr val="000000"/>
                </a:solidFill>
                <a:latin typeface="Century Gothic"/>
              </a:defRPr>
            </a:pPr>
          </a:p>
        </c:txPr>
        <c:crossAx val="1866620560"/>
      </c:catAx>
      <c:valAx>
        <c:axId val="1866620560"/>
        <c:scaling>
          <c:orientation val="minMax"/>
          <c:max val="46111.0"/>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sz="1000">
                <a:solidFill>
                  <a:srgbClr val="000000"/>
                </a:solidFill>
                <a:latin typeface="Century Gothic"/>
              </a:defRPr>
            </a:pPr>
          </a:p>
        </c:txPr>
        <c:crossAx val="127608124"/>
        <c:crosses val="max"/>
        <c:majorUnit val="5.0"/>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Task Status %</a:t>
            </a:r>
          </a:p>
        </c:rich>
      </c:tx>
      <c:overlay val="0"/>
    </c:title>
    <c:plotArea>
      <c:layout>
        <c:manualLayout>
          <c:xMode val="edge"/>
          <c:yMode val="edge"/>
          <c:x val="0.0895671569699621"/>
          <c:y val="0.11122412748804278"/>
          <c:w val="0.7687825805628463"/>
          <c:h val="0.7047513523674263"/>
        </c:manualLayout>
      </c:layout>
      <c:pieChart>
        <c:varyColors val="1"/>
        <c:ser>
          <c:idx val="0"/>
          <c:order val="0"/>
          <c:dPt>
            <c:idx val="0"/>
            <c:spPr>
              <a:solidFill>
                <a:srgbClr val="FECBFF"/>
              </a:solidFill>
            </c:spPr>
          </c:dPt>
          <c:dPt>
            <c:idx val="1"/>
            <c:spPr>
              <a:solidFill>
                <a:srgbClr val="B7EC33"/>
              </a:solidFill>
            </c:spPr>
          </c:dPt>
          <c:dPt>
            <c:idx val="2"/>
            <c:spPr>
              <a:solidFill>
                <a:srgbClr val="03DB67"/>
              </a:solidFill>
            </c:spPr>
          </c:dPt>
          <c:dPt>
            <c:idx val="3"/>
            <c:spPr>
              <a:solidFill>
                <a:srgbClr val="ABF0EB"/>
              </a:solidFill>
            </c:spPr>
          </c:dPt>
          <c:dPt>
            <c:idx val="4"/>
            <c:spPr>
              <a:solidFill>
                <a:srgbClr val="5EEAE7"/>
              </a:solidFill>
            </c:spPr>
          </c:dPt>
          <c:dPt>
            <c:idx val="5"/>
            <c:spPr>
              <a:solidFill>
                <a:srgbClr val="FFD323"/>
              </a:solidFill>
            </c:spPr>
          </c:dPt>
          <c:dPt>
            <c:idx val="6"/>
            <c:spPr>
              <a:solidFill>
                <a:srgbClr val="DADADA"/>
              </a:solidFill>
            </c:spPr>
          </c:dPt>
          <c:dLbls>
            <c:showLegendKey val="0"/>
            <c:showVal val="1"/>
            <c:showCatName val="0"/>
            <c:showSerName val="0"/>
            <c:showPercent val="0"/>
            <c:showBubbleSize val="0"/>
            <c:showLeaderLines val="1"/>
          </c:dLbls>
          <c:cat>
            <c:strRef>
              <c:f>'Plan de trabajo'!$B$88:$B$94</c:f>
            </c:strRef>
          </c:cat>
          <c:val>
            <c:numRef>
              <c:f>'Plan de trabajo'!$C$88:$C$94</c:f>
              <c:numCache/>
            </c:numRef>
          </c:val>
        </c:ser>
        <c:dLbls>
          <c:showLegendKey val="0"/>
          <c:showVal val="0"/>
          <c:showCatName val="0"/>
          <c:showSerName val="0"/>
          <c:showPercent val="0"/>
          <c:showBubbleSize val="0"/>
        </c:dLbls>
        <c:firstSliceAng val="0"/>
      </c:pieChart>
    </c:plotArea>
    <c:legend>
      <c:legendPos val="b"/>
      <c:layout>
        <c:manualLayout>
          <c:xMode val="edge"/>
          <c:yMode val="edge"/>
          <c:x val="0.013360309128025664"/>
          <c:y val="0.8578282754443493"/>
        </c:manualLayout>
      </c:layout>
      <c:overlay val="0"/>
      <c:txPr>
        <a:bodyPr/>
        <a:lstStyle/>
        <a:p>
          <a:pPr lvl="0">
            <a:defRPr b="1" i="0" sz="1200">
              <a:solidFill>
                <a:srgbClr val="1A1A1A"/>
              </a:solidFill>
              <a:latin typeface="Century Gothic"/>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Pending Items</a:t>
            </a:r>
          </a:p>
        </c:rich>
      </c:tx>
      <c:overlay val="0"/>
    </c:title>
    <c:plotArea>
      <c:layout/>
      <c:barChart>
        <c:barDir val="col"/>
        <c:ser>
          <c:idx val="0"/>
          <c:order val="0"/>
          <c:spPr>
            <a:solidFill>
              <a:srgbClr val="FF6600"/>
            </a:solidFill>
            <a:ln cmpd="sng">
              <a:solidFill>
                <a:srgbClr val="000000"/>
              </a:solidFill>
            </a:ln>
          </c:spPr>
          <c:dPt>
            <c:idx val="0"/>
            <c:spPr>
              <a:solidFill>
                <a:srgbClr val="59ADFE"/>
              </a:solidFill>
              <a:ln cmpd="sng">
                <a:solidFill>
                  <a:srgbClr val="000000"/>
                </a:solidFill>
              </a:ln>
            </c:spPr>
          </c:dPt>
          <c:dPt>
            <c:idx val="1"/>
            <c:spPr>
              <a:solidFill>
                <a:srgbClr val="00BD32"/>
              </a:solidFill>
              <a:ln cmpd="sng">
                <a:solidFill>
                  <a:srgbClr val="000000"/>
                </a:solidFill>
              </a:ln>
            </c:spPr>
          </c:dPt>
          <c:dPt>
            <c:idx val="2"/>
            <c:spPr>
              <a:solidFill>
                <a:srgbClr val="FFC000"/>
              </a:solidFill>
              <a:ln cmpd="sng">
                <a:solidFill>
                  <a:srgbClr val="000000"/>
                </a:solidFill>
              </a:ln>
            </c:spPr>
          </c:dPt>
          <c:dLbls>
            <c:numFmt formatCode="General" sourceLinked="1"/>
            <c:txPr>
              <a:bodyPr/>
              <a:lstStyle/>
              <a:p>
                <a:pPr lvl="0">
                  <a:defRPr b="1" i="0" sz="1400">
                    <a:latin typeface="Century Gothic"/>
                  </a:defRPr>
                </a:pPr>
              </a:p>
            </c:txPr>
            <c:showLegendKey val="0"/>
            <c:showVal val="1"/>
            <c:showCatName val="0"/>
            <c:showSerName val="0"/>
            <c:showPercent val="0"/>
            <c:showBubbleSize val="0"/>
          </c:dLbls>
          <c:cat>
            <c:strRef>
              <c:f>'Plan de trabajo'!$G$98:$G$100</c:f>
            </c:strRef>
          </c:cat>
          <c:val>
            <c:numRef>
              <c:f>'Plan de trabajo'!$H$98:$H$100</c:f>
              <c:numCache/>
            </c:numRef>
          </c:val>
        </c:ser>
        <c:axId val="1570416262"/>
        <c:axId val="292789431"/>
      </c:barChart>
      <c:catAx>
        <c:axId val="15704162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1200">
                <a:solidFill>
                  <a:srgbClr val="000000"/>
                </a:solidFill>
                <a:latin typeface="Century Gothic"/>
              </a:defRPr>
            </a:pPr>
          </a:p>
        </c:txPr>
        <c:crossAx val="292789431"/>
      </c:catAx>
      <c:valAx>
        <c:axId val="29278943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a:solidFill>
                  <a:srgbClr val="000000"/>
                </a:solidFill>
                <a:latin typeface="Century Gothic"/>
              </a:defRPr>
            </a:pPr>
          </a:p>
        </c:txPr>
        <c:crossAx val="1570416262"/>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Task Priority %</a:t>
            </a:r>
          </a:p>
        </c:rich>
      </c:tx>
      <c:overlay val="0"/>
    </c:title>
    <c:plotArea>
      <c:layout>
        <c:manualLayout>
          <c:xMode val="edge"/>
          <c:yMode val="edge"/>
          <c:x val="0.1069831765820939"/>
          <c:y val="0.10439629064934522"/>
          <c:w val="0.7947144302274716"/>
          <c:h val="0.7285233609724514"/>
        </c:manualLayout>
      </c:layout>
      <c:pieChart>
        <c:varyColors val="1"/>
        <c:ser>
          <c:idx val="0"/>
          <c:order val="0"/>
          <c:dPt>
            <c:idx val="0"/>
            <c:spPr>
              <a:solidFill>
                <a:srgbClr val="00E7ED"/>
              </a:solidFill>
            </c:spPr>
          </c:dPt>
          <c:dPt>
            <c:idx val="1"/>
            <c:spPr>
              <a:solidFill>
                <a:srgbClr val="FFC000"/>
              </a:solidFill>
            </c:spPr>
          </c:dPt>
          <c:dPt>
            <c:idx val="2"/>
            <c:spPr>
              <a:solidFill>
                <a:srgbClr val="FF5039"/>
              </a:solidFill>
            </c:spPr>
          </c:dPt>
          <c:dLbls>
            <c:showLegendKey val="0"/>
            <c:showVal val="1"/>
            <c:showCatName val="0"/>
            <c:showSerName val="0"/>
            <c:showPercent val="0"/>
            <c:showBubbleSize val="0"/>
            <c:showLeaderLines val="1"/>
          </c:dLbls>
          <c:cat>
            <c:strRef>
              <c:f>'Plan de trabajo'!$B$99:$B$101</c:f>
            </c:strRef>
          </c:cat>
          <c:val>
            <c:numRef>
              <c:f>'Plan de trabajo'!$C$99:$C$101</c:f>
              <c:numCache/>
            </c:numRef>
          </c:val>
        </c:ser>
        <c:dLbls>
          <c:showLegendKey val="0"/>
          <c:showVal val="0"/>
          <c:showCatName val="0"/>
          <c:showSerName val="0"/>
          <c:showPercent val="0"/>
          <c:showBubbleSize val="0"/>
        </c:dLbls>
        <c:firstSliceAng val="0"/>
      </c:pieChart>
    </c:plotArea>
    <c:legend>
      <c:legendPos val="b"/>
      <c:layout>
        <c:manualLayout>
          <c:xMode val="edge"/>
          <c:yMode val="edge"/>
          <c:x val="0.24657926873724118"/>
          <c:y val="0.8934829465945402"/>
        </c:manualLayout>
      </c:layout>
      <c:overlay val="0"/>
      <c:txPr>
        <a:bodyPr/>
        <a:lstStyle/>
        <a:p>
          <a:pPr lvl="0">
            <a:defRPr b="1" i="0" sz="1200">
              <a:solidFill>
                <a:srgbClr val="1A1A1A"/>
              </a:solidFill>
              <a:latin typeface="Century Gothic"/>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19050</xdr:rowOff>
    </xdr:from>
    <xdr:ext cx="13277850" cy="181737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37</xdr:row>
      <xdr:rowOff>704850</xdr:rowOff>
    </xdr:from>
    <xdr:ext cx="13887450" cy="16592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123825</xdr:colOff>
      <xdr:row>25</xdr:row>
      <xdr:rowOff>180975</xdr:rowOff>
    </xdr:from>
    <xdr:ext cx="5048250" cy="1771650"/>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38100</xdr:colOff>
      <xdr:row>33</xdr:row>
      <xdr:rowOff>19050</xdr:rowOff>
    </xdr:from>
    <xdr:ext cx="13887450" cy="17926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26</xdr:row>
      <xdr:rowOff>514350</xdr:rowOff>
    </xdr:from>
    <xdr:ext cx="13277850" cy="183832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20</xdr:row>
      <xdr:rowOff>152400</xdr:rowOff>
    </xdr:from>
    <xdr:ext cx="13277850" cy="17430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xdr:colOff>
      <xdr:row>82</xdr:row>
      <xdr:rowOff>171450</xdr:rowOff>
    </xdr:from>
    <xdr:ext cx="13277850" cy="183356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48</xdr:row>
      <xdr:rowOff>0</xdr:rowOff>
    </xdr:from>
    <xdr:ext cx="2619375" cy="6000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50</xdr:row>
      <xdr:rowOff>0</xdr:rowOff>
    </xdr:from>
    <xdr:ext cx="2619375" cy="75247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4</xdr:row>
      <xdr:rowOff>19050</xdr:rowOff>
    </xdr:from>
    <xdr:ext cx="15773400" cy="49244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38100</xdr:colOff>
      <xdr:row>5</xdr:row>
      <xdr:rowOff>19050</xdr:rowOff>
    </xdr:from>
    <xdr:ext cx="4933950" cy="478155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438150</xdr:colOff>
      <xdr:row>5</xdr:row>
      <xdr:rowOff>2324100</xdr:rowOff>
    </xdr:from>
    <xdr:ext cx="4762500" cy="252412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381000</xdr:colOff>
      <xdr:row>5</xdr:row>
      <xdr:rowOff>19050</xdr:rowOff>
    </xdr:from>
    <xdr:ext cx="4991100" cy="4781550"/>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ofbsE368F2zyu_cit6L0CLuZ1r3-VC62crh31pRjqlg/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martsheet.com/try-it?trp=11440&amp;utm_source=template-google-sheet&amp;utm_medium=content&amp;utm_campaign=Project+Management+Dashboard-google-sheet-11440&amp;lpa=Project+Management+Dashboard+google-sheet+1144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1.22" defaultRowHeight="15.0"/>
  <cols>
    <col customWidth="1" min="1" max="1" width="4.44"/>
    <col customWidth="1" min="2" max="3" width="30.56"/>
    <col customWidth="1" min="4" max="4" width="28.67"/>
    <col customWidth="1" min="5" max="6" width="30.56"/>
    <col customWidth="1" hidden="1" min="7" max="7" width="5.0"/>
    <col hidden="1" min="8" max="26" width="11.22"/>
  </cols>
  <sheetData>
    <row r="1" ht="120.75" customHeight="1">
      <c r="A1" s="1"/>
      <c r="B1" s="1"/>
      <c r="C1" s="1"/>
      <c r="D1" s="1"/>
      <c r="E1" s="1"/>
      <c r="F1" s="1"/>
      <c r="G1" s="1"/>
      <c r="H1" s="1"/>
      <c r="I1" s="1"/>
      <c r="J1" s="1"/>
      <c r="K1" s="1"/>
      <c r="L1" s="1"/>
      <c r="M1" s="1"/>
      <c r="N1" s="1"/>
      <c r="O1" s="1"/>
      <c r="P1" s="1"/>
      <c r="Q1" s="1"/>
      <c r="R1" s="1"/>
      <c r="S1" s="1"/>
      <c r="T1" s="1"/>
      <c r="U1" s="1"/>
      <c r="V1" s="1"/>
      <c r="W1" s="1"/>
      <c r="X1" s="1"/>
      <c r="Y1" s="1"/>
      <c r="Z1" s="1"/>
    </row>
    <row r="2">
      <c r="A2" s="2" t="s">
        <v>0</v>
      </c>
      <c r="H2" s="1"/>
      <c r="I2" s="1"/>
      <c r="J2" s="1"/>
      <c r="K2" s="1"/>
      <c r="L2" s="1"/>
      <c r="M2" s="1"/>
      <c r="N2" s="1"/>
      <c r="O2" s="1"/>
      <c r="P2" s="1"/>
      <c r="Q2" s="1"/>
      <c r="R2" s="1"/>
      <c r="S2" s="1"/>
      <c r="T2" s="1"/>
      <c r="U2" s="1"/>
      <c r="V2" s="1"/>
      <c r="W2" s="1"/>
      <c r="X2" s="1"/>
      <c r="Y2" s="1"/>
      <c r="Z2" s="1"/>
    </row>
    <row r="3">
      <c r="A3" s="2" t="s">
        <v>1</v>
      </c>
      <c r="H3" s="1"/>
      <c r="I3" s="1"/>
      <c r="J3" s="1"/>
      <c r="K3" s="1"/>
      <c r="L3" s="1"/>
      <c r="M3" s="1"/>
      <c r="N3" s="1"/>
      <c r="O3" s="1"/>
      <c r="P3" s="1"/>
      <c r="Q3" s="1"/>
      <c r="R3" s="1"/>
      <c r="S3" s="1"/>
      <c r="T3" s="1"/>
      <c r="U3" s="1"/>
      <c r="V3" s="1"/>
      <c r="W3" s="1"/>
      <c r="X3" s="1"/>
      <c r="Y3" s="1"/>
      <c r="Z3" s="1"/>
    </row>
    <row r="4">
      <c r="A4" s="3"/>
      <c r="H4" s="1"/>
      <c r="I4" s="1"/>
      <c r="J4" s="1"/>
      <c r="K4" s="1"/>
      <c r="L4" s="1"/>
      <c r="M4" s="1"/>
      <c r="N4" s="1"/>
      <c r="O4" s="1"/>
      <c r="P4" s="1"/>
      <c r="Q4" s="1"/>
      <c r="R4" s="1"/>
      <c r="S4" s="1"/>
      <c r="T4" s="1"/>
      <c r="U4" s="1"/>
      <c r="V4" s="1"/>
      <c r="W4" s="1"/>
      <c r="X4" s="1"/>
      <c r="Y4" s="1"/>
      <c r="Z4" s="1"/>
    </row>
    <row r="5">
      <c r="A5" s="1"/>
      <c r="B5" s="4" t="s">
        <v>2</v>
      </c>
      <c r="C5" s="5" t="s">
        <v>3</v>
      </c>
      <c r="D5" s="6"/>
      <c r="E5" s="4" t="s">
        <v>4</v>
      </c>
      <c r="F5" s="5">
        <v>3855505.0</v>
      </c>
      <c r="G5" s="1"/>
      <c r="H5" s="1"/>
      <c r="I5" s="1"/>
      <c r="J5" s="1"/>
      <c r="K5" s="1"/>
      <c r="L5" s="1"/>
      <c r="M5" s="1"/>
      <c r="N5" s="1"/>
      <c r="O5" s="1"/>
      <c r="P5" s="1"/>
      <c r="Q5" s="1"/>
      <c r="R5" s="1"/>
      <c r="S5" s="1"/>
      <c r="T5" s="1"/>
      <c r="U5" s="1"/>
      <c r="V5" s="1"/>
      <c r="W5" s="1"/>
      <c r="X5" s="1"/>
      <c r="Y5" s="1"/>
      <c r="Z5" s="1"/>
    </row>
    <row r="6">
      <c r="A6" s="1"/>
      <c r="B6" s="7" t="s">
        <v>5</v>
      </c>
      <c r="C6" s="8" t="s">
        <v>6</v>
      </c>
      <c r="D6" s="6"/>
      <c r="E6" s="7" t="s">
        <v>7</v>
      </c>
      <c r="F6" s="9" t="s">
        <v>8</v>
      </c>
      <c r="G6" s="1"/>
      <c r="H6" s="1"/>
      <c r="I6" s="1"/>
      <c r="J6" s="1"/>
      <c r="K6" s="1"/>
      <c r="L6" s="1"/>
      <c r="M6" s="1"/>
      <c r="N6" s="1"/>
      <c r="O6" s="1"/>
      <c r="P6" s="1"/>
      <c r="Q6" s="1"/>
      <c r="R6" s="1"/>
      <c r="S6" s="1"/>
      <c r="T6" s="1"/>
      <c r="U6" s="1"/>
      <c r="V6" s="1"/>
      <c r="W6" s="1"/>
      <c r="X6" s="1"/>
      <c r="Y6" s="1"/>
      <c r="Z6" s="1"/>
    </row>
    <row r="7">
      <c r="A7" s="1"/>
      <c r="B7" s="7" t="s">
        <v>9</v>
      </c>
      <c r="C7" s="9" t="s">
        <v>10</v>
      </c>
      <c r="D7" s="1"/>
      <c r="E7" s="7" t="s">
        <v>11</v>
      </c>
      <c r="F7" s="9" t="s">
        <v>12</v>
      </c>
      <c r="G7" s="1"/>
      <c r="H7" s="1"/>
      <c r="I7" s="1"/>
      <c r="J7" s="1"/>
      <c r="K7" s="1"/>
      <c r="L7" s="1"/>
      <c r="M7" s="1"/>
      <c r="N7" s="1"/>
      <c r="O7" s="1"/>
      <c r="P7" s="1"/>
      <c r="Q7" s="1"/>
      <c r="R7" s="1"/>
      <c r="S7" s="1"/>
      <c r="T7" s="1"/>
      <c r="U7" s="1"/>
      <c r="V7" s="1"/>
      <c r="W7" s="1"/>
      <c r="X7" s="1"/>
      <c r="Y7" s="1"/>
      <c r="Z7" s="1"/>
    </row>
    <row r="8">
      <c r="A8" s="1"/>
      <c r="B8" s="10" t="s">
        <v>13</v>
      </c>
      <c r="C8" s="9" t="s">
        <v>14</v>
      </c>
      <c r="D8" s="1"/>
      <c r="E8" s="7" t="s">
        <v>15</v>
      </c>
      <c r="F8" s="9" t="s">
        <v>16</v>
      </c>
      <c r="G8" s="1"/>
      <c r="H8" s="1"/>
      <c r="I8" s="1"/>
      <c r="J8" s="1"/>
      <c r="K8" s="1"/>
      <c r="L8" s="1"/>
      <c r="M8" s="1"/>
      <c r="N8" s="1"/>
      <c r="O8" s="1"/>
      <c r="P8" s="1"/>
      <c r="Q8" s="1"/>
      <c r="R8" s="1"/>
      <c r="S8" s="1"/>
      <c r="T8" s="1"/>
      <c r="U8" s="1"/>
      <c r="V8" s="1"/>
      <c r="W8" s="1"/>
      <c r="X8" s="1"/>
      <c r="Y8" s="1"/>
      <c r="Z8" s="1"/>
    </row>
    <row r="9">
      <c r="A9" s="1"/>
      <c r="B9" s="10" t="s">
        <v>17</v>
      </c>
      <c r="C9" s="9" t="s">
        <v>18</v>
      </c>
      <c r="D9" s="1"/>
      <c r="E9" s="7" t="s">
        <v>19</v>
      </c>
      <c r="F9" s="9">
        <v>79.0</v>
      </c>
      <c r="G9" s="1"/>
      <c r="H9" s="1"/>
      <c r="I9" s="1"/>
      <c r="J9" s="1"/>
      <c r="K9" s="1"/>
      <c r="L9" s="1"/>
      <c r="M9" s="1"/>
      <c r="N9" s="1"/>
      <c r="O9" s="1"/>
      <c r="P9" s="1"/>
      <c r="Q9" s="1"/>
      <c r="R9" s="1"/>
      <c r="S9" s="1"/>
      <c r="T9" s="1"/>
      <c r="U9" s="1"/>
      <c r="V9" s="1"/>
      <c r="W9" s="1"/>
      <c r="X9" s="1"/>
      <c r="Y9" s="1"/>
      <c r="Z9" s="1"/>
    </row>
    <row r="10">
      <c r="A10" s="1"/>
      <c r="B10" s="10" t="s">
        <v>20</v>
      </c>
      <c r="C10" s="9">
        <v>3.042078835E9</v>
      </c>
      <c r="D10" s="1"/>
      <c r="E10" s="7" t="s">
        <v>21</v>
      </c>
      <c r="F10" s="9" t="s">
        <v>10</v>
      </c>
      <c r="G10" s="1"/>
      <c r="H10" s="1"/>
      <c r="I10" s="1"/>
      <c r="J10" s="1"/>
      <c r="K10" s="1"/>
      <c r="L10" s="1"/>
      <c r="M10" s="1"/>
      <c r="N10" s="1"/>
      <c r="O10" s="1"/>
      <c r="P10" s="1"/>
      <c r="Q10" s="1"/>
      <c r="R10" s="1"/>
      <c r="S10" s="1"/>
      <c r="T10" s="1"/>
      <c r="U10" s="1"/>
      <c r="V10" s="1"/>
      <c r="W10" s="1"/>
      <c r="X10" s="1"/>
      <c r="Y10" s="1"/>
      <c r="Z10" s="1"/>
    </row>
    <row r="11">
      <c r="A11" s="1"/>
      <c r="B11" s="10" t="s">
        <v>22</v>
      </c>
      <c r="C11" s="9" t="s">
        <v>23</v>
      </c>
      <c r="D11" s="1"/>
      <c r="E11" s="7" t="s">
        <v>24</v>
      </c>
      <c r="F11" s="9" t="s">
        <v>25</v>
      </c>
      <c r="G11" s="1"/>
      <c r="H11" s="1"/>
      <c r="I11" s="1"/>
      <c r="J11" s="1"/>
      <c r="K11" s="1"/>
      <c r="L11" s="1"/>
      <c r="M11" s="1"/>
      <c r="N11" s="1"/>
      <c r="O11" s="1"/>
      <c r="P11" s="1"/>
      <c r="Q11" s="1"/>
      <c r="R11" s="1"/>
      <c r="S11" s="1"/>
      <c r="T11" s="1"/>
      <c r="U11" s="1"/>
      <c r="V11" s="1"/>
      <c r="W11" s="1"/>
      <c r="X11" s="1"/>
      <c r="Y11" s="1"/>
      <c r="Z11" s="1"/>
    </row>
    <row r="12">
      <c r="A12" s="1"/>
      <c r="B12" s="11" t="s">
        <v>26</v>
      </c>
      <c r="C12" s="9">
        <v>2.0</v>
      </c>
      <c r="D12" s="1"/>
      <c r="E12" s="7" t="s">
        <v>27</v>
      </c>
      <c r="F12" s="9" t="s">
        <v>28</v>
      </c>
      <c r="G12" s="1"/>
      <c r="H12" s="1"/>
      <c r="I12" s="1"/>
      <c r="J12" s="1"/>
      <c r="K12" s="1"/>
      <c r="L12" s="1"/>
      <c r="M12" s="1"/>
      <c r="N12" s="1"/>
      <c r="O12" s="1"/>
      <c r="P12" s="1"/>
      <c r="Q12" s="1"/>
      <c r="R12" s="1"/>
      <c r="S12" s="1"/>
      <c r="T12" s="1"/>
      <c r="U12" s="1"/>
      <c r="V12" s="1"/>
      <c r="W12" s="1"/>
      <c r="X12" s="1"/>
      <c r="Y12" s="1"/>
      <c r="Z12" s="1"/>
    </row>
    <row r="13">
      <c r="A13" s="1"/>
      <c r="B13" s="11" t="s">
        <v>29</v>
      </c>
      <c r="C13" s="12">
        <v>1.0</v>
      </c>
      <c r="D13" s="13"/>
      <c r="E13" s="14" t="s">
        <v>30</v>
      </c>
      <c r="F13" s="12" t="s">
        <v>31</v>
      </c>
      <c r="G13" s="1"/>
      <c r="H13" s="1"/>
      <c r="I13" s="1"/>
      <c r="J13" s="1"/>
      <c r="K13" s="1"/>
      <c r="L13" s="1"/>
      <c r="M13" s="1"/>
      <c r="N13" s="1"/>
      <c r="O13" s="1"/>
      <c r="P13" s="1"/>
      <c r="Q13" s="1"/>
      <c r="R13" s="1"/>
      <c r="S13" s="1"/>
      <c r="T13" s="1"/>
      <c r="U13" s="1"/>
      <c r="V13" s="1"/>
      <c r="W13" s="1"/>
      <c r="X13" s="1"/>
      <c r="Y13" s="1"/>
      <c r="Z13" s="1"/>
    </row>
    <row r="14">
      <c r="A14" s="1"/>
      <c r="B14" s="15"/>
      <c r="C14" s="1"/>
      <c r="D14" s="1"/>
      <c r="E14" s="1"/>
      <c r="F14" s="1"/>
      <c r="G14" s="1"/>
      <c r="H14" s="1"/>
      <c r="I14" s="1"/>
      <c r="J14" s="1"/>
      <c r="K14" s="1"/>
      <c r="L14" s="1"/>
      <c r="M14" s="1"/>
      <c r="N14" s="1"/>
      <c r="O14" s="1"/>
      <c r="P14" s="1"/>
      <c r="Q14" s="1"/>
      <c r="R14" s="1"/>
      <c r="S14" s="1"/>
      <c r="T14" s="1"/>
      <c r="U14" s="1"/>
      <c r="V14" s="1"/>
      <c r="W14" s="1"/>
      <c r="X14" s="1"/>
      <c r="Y14" s="1"/>
      <c r="Z14" s="1"/>
    </row>
    <row r="15" ht="21.75" customHeight="1">
      <c r="A15" s="1"/>
      <c r="B15" s="16" t="s">
        <v>32</v>
      </c>
      <c r="C15" s="1"/>
      <c r="D15" s="1"/>
      <c r="E15" s="1"/>
      <c r="F15" s="1"/>
      <c r="G15" s="1"/>
      <c r="H15" s="1"/>
      <c r="I15" s="1"/>
      <c r="J15" s="1"/>
      <c r="K15" s="1"/>
      <c r="L15" s="1"/>
      <c r="M15" s="1"/>
      <c r="N15" s="1"/>
      <c r="O15" s="1"/>
      <c r="P15" s="1"/>
      <c r="Q15" s="1"/>
      <c r="R15" s="1"/>
      <c r="S15" s="1"/>
      <c r="T15" s="1"/>
      <c r="U15" s="1"/>
      <c r="V15" s="1"/>
      <c r="W15" s="1"/>
      <c r="X15" s="1"/>
      <c r="Y15" s="1"/>
      <c r="Z15" s="1"/>
    </row>
    <row r="16">
      <c r="A16" s="17"/>
      <c r="B16" s="18" t="s">
        <v>33</v>
      </c>
      <c r="G16" s="17"/>
      <c r="H16" s="17"/>
      <c r="I16" s="17"/>
      <c r="J16" s="19"/>
      <c r="K16" s="17"/>
      <c r="L16" s="17"/>
      <c r="M16" s="17"/>
      <c r="N16" s="17"/>
      <c r="O16" s="17"/>
      <c r="P16" s="17"/>
      <c r="Q16" s="17"/>
      <c r="R16" s="17"/>
      <c r="S16" s="17"/>
      <c r="T16" s="17"/>
      <c r="U16" s="17"/>
      <c r="V16" s="17"/>
      <c r="W16" s="17"/>
      <c r="X16" s="17"/>
      <c r="Y16" s="17"/>
      <c r="Z16" s="17"/>
    </row>
    <row r="17" ht="18.75" customHeight="1">
      <c r="A17" s="1"/>
      <c r="B17" s="15"/>
      <c r="C17" s="1"/>
      <c r="D17" s="1"/>
      <c r="E17" s="1"/>
      <c r="F17" s="1"/>
      <c r="G17" s="1"/>
      <c r="H17" s="1"/>
      <c r="I17" s="1"/>
      <c r="J17" s="1"/>
      <c r="K17" s="1"/>
      <c r="L17" s="1"/>
      <c r="M17" s="1"/>
      <c r="N17" s="1"/>
      <c r="O17" s="1"/>
      <c r="P17" s="1"/>
      <c r="Q17" s="1"/>
      <c r="R17" s="1"/>
      <c r="S17" s="1"/>
      <c r="T17" s="1"/>
      <c r="U17" s="1"/>
      <c r="V17" s="1"/>
      <c r="W17" s="1"/>
      <c r="X17" s="1"/>
      <c r="Y17" s="1"/>
      <c r="Z17" s="1"/>
    </row>
    <row r="18" ht="21.75" customHeight="1">
      <c r="A18" s="1"/>
      <c r="B18" s="16" t="s">
        <v>34</v>
      </c>
      <c r="C18" s="1"/>
      <c r="D18" s="1"/>
      <c r="E18" s="20"/>
      <c r="F18" s="1"/>
      <c r="G18" s="1"/>
      <c r="H18" s="1"/>
      <c r="I18" s="1"/>
      <c r="J18" s="1"/>
      <c r="K18" s="1"/>
      <c r="L18" s="1"/>
      <c r="M18" s="1"/>
      <c r="N18" s="1"/>
      <c r="O18" s="1"/>
      <c r="P18" s="1"/>
      <c r="Q18" s="1"/>
      <c r="R18" s="1"/>
      <c r="S18" s="1"/>
      <c r="T18" s="1"/>
      <c r="U18" s="1"/>
      <c r="V18" s="1"/>
      <c r="W18" s="1"/>
      <c r="X18" s="1"/>
      <c r="Y18" s="1"/>
      <c r="Z18" s="1"/>
    </row>
    <row r="19" ht="338.25" customHeight="1">
      <c r="A19" s="17"/>
      <c r="B19" s="21" t="s">
        <v>35</v>
      </c>
      <c r="G19" s="17"/>
      <c r="H19" s="17"/>
      <c r="I19" s="17"/>
      <c r="J19" s="17"/>
      <c r="K19" s="17"/>
      <c r="L19" s="17"/>
      <c r="M19" s="17"/>
      <c r="N19" s="17"/>
      <c r="O19" s="17"/>
      <c r="P19" s="17"/>
      <c r="Q19" s="17"/>
      <c r="R19" s="17"/>
      <c r="S19" s="17"/>
      <c r="T19" s="17"/>
      <c r="U19" s="17"/>
      <c r="V19" s="17"/>
      <c r="W19" s="17"/>
      <c r="X19" s="17"/>
      <c r="Y19" s="17"/>
      <c r="Z19" s="17"/>
    </row>
    <row r="20" ht="57.75" customHeight="1">
      <c r="A20" s="1"/>
      <c r="B20" s="15"/>
      <c r="C20" s="1"/>
      <c r="D20" s="1"/>
      <c r="E20" s="1"/>
      <c r="F20" s="1"/>
      <c r="G20" s="1"/>
      <c r="H20" s="1"/>
      <c r="I20" s="1"/>
      <c r="J20" s="1"/>
      <c r="K20" s="1"/>
      <c r="L20" s="1"/>
      <c r="M20" s="1"/>
      <c r="N20" s="1"/>
      <c r="O20" s="1"/>
      <c r="P20" s="1"/>
      <c r="Q20" s="1"/>
      <c r="R20" s="1"/>
      <c r="S20" s="1"/>
      <c r="T20" s="1"/>
      <c r="U20" s="1"/>
      <c r="V20" s="1"/>
      <c r="W20" s="1"/>
      <c r="X20" s="1"/>
      <c r="Y20" s="1"/>
      <c r="Z20" s="1"/>
    </row>
    <row r="21" ht="57.75" customHeight="1">
      <c r="A21" s="1"/>
      <c r="B21" s="15"/>
      <c r="C21" s="1"/>
      <c r="D21" s="1"/>
      <c r="E21" s="1"/>
      <c r="F21" s="1"/>
      <c r="G21" s="1"/>
      <c r="H21" s="1"/>
      <c r="I21" s="1"/>
      <c r="J21" s="1"/>
      <c r="K21" s="1"/>
      <c r="L21" s="1"/>
      <c r="M21" s="1"/>
      <c r="N21" s="1"/>
      <c r="O21" s="1"/>
      <c r="P21" s="1"/>
      <c r="Q21" s="1"/>
      <c r="R21" s="1"/>
      <c r="S21" s="1"/>
      <c r="T21" s="1"/>
      <c r="U21" s="1"/>
      <c r="V21" s="1"/>
      <c r="W21" s="1"/>
      <c r="X21" s="1"/>
      <c r="Y21" s="1"/>
      <c r="Z21" s="1"/>
    </row>
    <row r="22" ht="57.75" customHeight="1">
      <c r="A22" s="1"/>
      <c r="B22" s="15"/>
      <c r="C22" s="1"/>
      <c r="D22" s="1"/>
      <c r="E22" s="1"/>
      <c r="F22" s="1"/>
      <c r="G22" s="1"/>
      <c r="H22" s="1"/>
      <c r="I22" s="1"/>
      <c r="J22" s="1"/>
      <c r="K22" s="1"/>
      <c r="L22" s="1"/>
      <c r="M22" s="1"/>
      <c r="N22" s="1"/>
      <c r="O22" s="1"/>
      <c r="P22" s="1"/>
      <c r="Q22" s="1"/>
      <c r="R22" s="1"/>
      <c r="S22" s="1"/>
      <c r="T22" s="1"/>
      <c r="U22" s="1"/>
      <c r="V22" s="1"/>
      <c r="W22" s="1"/>
      <c r="X22" s="1"/>
      <c r="Y22" s="1"/>
      <c r="Z22" s="1"/>
    </row>
    <row r="23">
      <c r="A23" s="1"/>
      <c r="B23" s="21" t="s">
        <v>36</v>
      </c>
      <c r="G23" s="1"/>
      <c r="H23" s="1"/>
      <c r="I23" s="1"/>
      <c r="J23" s="1"/>
      <c r="K23" s="1"/>
      <c r="L23" s="1"/>
      <c r="M23" s="1"/>
      <c r="N23" s="1"/>
      <c r="O23" s="1"/>
      <c r="P23" s="1"/>
      <c r="Q23" s="1"/>
      <c r="R23" s="1"/>
      <c r="S23" s="1"/>
      <c r="T23" s="1"/>
      <c r="U23" s="1"/>
      <c r="V23" s="1"/>
      <c r="W23" s="1"/>
      <c r="X23" s="1"/>
      <c r="Y23" s="1"/>
      <c r="Z23" s="1"/>
    </row>
    <row r="24" ht="8.25" customHeight="1">
      <c r="A24" s="1"/>
      <c r="B24" s="15"/>
      <c r="C24" s="1"/>
      <c r="D24" s="1"/>
      <c r="E24" s="1"/>
      <c r="F24" s="1"/>
      <c r="G24" s="1"/>
      <c r="H24" s="1"/>
      <c r="I24" s="1"/>
      <c r="J24" s="1"/>
      <c r="K24" s="1"/>
      <c r="L24" s="1"/>
      <c r="M24" s="1"/>
      <c r="N24" s="1"/>
      <c r="O24" s="1"/>
      <c r="P24" s="1"/>
      <c r="Q24" s="1"/>
      <c r="R24" s="1"/>
      <c r="S24" s="1"/>
      <c r="T24" s="1"/>
      <c r="U24" s="1"/>
      <c r="V24" s="1"/>
      <c r="W24" s="1"/>
      <c r="X24" s="1"/>
      <c r="Y24" s="1"/>
      <c r="Z24" s="1"/>
    </row>
    <row r="25" ht="29.25" customHeight="1">
      <c r="A25" s="1"/>
      <c r="B25" s="20" t="s">
        <v>37</v>
      </c>
      <c r="C25" s="1"/>
      <c r="D25" s="1"/>
      <c r="E25" s="1"/>
      <c r="F25" s="1"/>
      <c r="G25" s="1"/>
      <c r="H25" s="1"/>
      <c r="I25" s="1"/>
      <c r="J25" s="1"/>
      <c r="K25" s="1"/>
      <c r="L25" s="1"/>
      <c r="M25" s="1"/>
      <c r="N25" s="1"/>
      <c r="O25" s="1"/>
      <c r="P25" s="1"/>
      <c r="Q25" s="1"/>
      <c r="R25" s="1"/>
      <c r="S25" s="1"/>
      <c r="T25" s="1"/>
      <c r="U25" s="1"/>
      <c r="V25" s="1"/>
      <c r="W25" s="1"/>
      <c r="X25" s="1"/>
      <c r="Y25" s="1"/>
      <c r="Z25" s="1"/>
    </row>
    <row r="26">
      <c r="A26" s="1"/>
      <c r="B26" s="22" t="s">
        <v>38</v>
      </c>
      <c r="C26" s="23"/>
      <c r="D26" s="24" t="s">
        <v>39</v>
      </c>
      <c r="G26" s="1"/>
      <c r="H26" s="1"/>
      <c r="I26" s="25"/>
      <c r="J26" s="1"/>
      <c r="K26" s="1"/>
      <c r="L26" s="1"/>
      <c r="M26" s="1"/>
      <c r="N26" s="1"/>
      <c r="O26" s="1"/>
      <c r="P26" s="1"/>
      <c r="Q26" s="1"/>
      <c r="R26" s="1"/>
      <c r="S26" s="1"/>
      <c r="T26" s="1"/>
      <c r="U26" s="1"/>
      <c r="V26" s="1"/>
      <c r="W26" s="1"/>
      <c r="X26" s="1"/>
      <c r="Y26" s="1"/>
      <c r="Z26" s="1"/>
    </row>
    <row r="27" ht="70.5" customHeight="1">
      <c r="A27" s="1"/>
      <c r="B27" s="15"/>
      <c r="C27" s="1"/>
      <c r="D27" s="1"/>
      <c r="E27" s="1"/>
      <c r="F27" s="1"/>
      <c r="G27" s="1"/>
      <c r="H27" s="1"/>
      <c r="I27" s="1"/>
      <c r="J27" s="1"/>
      <c r="K27" s="1"/>
      <c r="L27" s="1"/>
      <c r="M27" s="1"/>
      <c r="N27" s="1"/>
      <c r="O27" s="1"/>
      <c r="P27" s="1"/>
      <c r="Q27" s="1"/>
      <c r="R27" s="1"/>
      <c r="S27" s="1"/>
      <c r="T27" s="1"/>
      <c r="U27" s="1"/>
      <c r="V27" s="1"/>
      <c r="W27" s="1"/>
      <c r="X27" s="1"/>
      <c r="Y27" s="1"/>
      <c r="Z27" s="1"/>
    </row>
    <row r="28" ht="150.0" customHeight="1">
      <c r="A28" s="17"/>
      <c r="B28" s="26"/>
      <c r="C28" s="17"/>
      <c r="D28" s="17"/>
      <c r="E28" s="17"/>
      <c r="F28" s="17"/>
      <c r="G28" s="17"/>
      <c r="H28" s="17"/>
      <c r="I28" s="17"/>
      <c r="J28" s="17"/>
      <c r="K28" s="17"/>
      <c r="L28" s="17"/>
      <c r="M28" s="17"/>
      <c r="N28" s="17"/>
      <c r="O28" s="17"/>
      <c r="P28" s="17"/>
      <c r="Q28" s="17"/>
      <c r="R28" s="17"/>
      <c r="S28" s="17"/>
      <c r="T28" s="17"/>
      <c r="U28" s="17"/>
      <c r="V28" s="17"/>
      <c r="W28" s="17"/>
      <c r="X28" s="17"/>
      <c r="Y28" s="17"/>
      <c r="Z28" s="17"/>
    </row>
    <row r="29" ht="24.0" customHeight="1">
      <c r="A29" s="17"/>
      <c r="B29" s="26" t="s">
        <v>40</v>
      </c>
      <c r="C29" s="17"/>
      <c r="D29" s="17"/>
      <c r="E29" s="17"/>
      <c r="F29" s="17"/>
      <c r="G29" s="17"/>
      <c r="H29" s="17"/>
      <c r="I29" s="17"/>
      <c r="J29" s="17"/>
      <c r="K29" s="17"/>
      <c r="L29" s="17"/>
      <c r="M29" s="17"/>
      <c r="N29" s="17"/>
      <c r="O29" s="17"/>
      <c r="P29" s="17"/>
      <c r="Q29" s="17"/>
      <c r="R29" s="17"/>
      <c r="S29" s="17"/>
      <c r="T29" s="17"/>
      <c r="U29" s="17"/>
      <c r="V29" s="17"/>
      <c r="W29" s="17"/>
      <c r="X29" s="17"/>
      <c r="Y29" s="17"/>
      <c r="Z29" s="17"/>
    </row>
    <row r="30" ht="361.5" customHeight="1">
      <c r="A30" s="17"/>
      <c r="B30" s="27" t="s">
        <v>41</v>
      </c>
      <c r="G30" s="17"/>
      <c r="H30" s="17"/>
      <c r="I30" s="17"/>
      <c r="J30" s="17"/>
      <c r="K30" s="17"/>
      <c r="L30" s="17"/>
      <c r="M30" s="17"/>
      <c r="N30" s="17"/>
      <c r="O30" s="17"/>
      <c r="P30" s="17"/>
      <c r="Q30" s="17"/>
      <c r="R30" s="17"/>
      <c r="S30" s="17"/>
      <c r="T30" s="17"/>
      <c r="U30" s="17"/>
      <c r="V30" s="17"/>
      <c r="W30" s="17"/>
      <c r="X30" s="17"/>
      <c r="Y30" s="17"/>
      <c r="Z30" s="17"/>
    </row>
    <row r="31" ht="33.75" customHeight="1">
      <c r="A31" s="17"/>
      <c r="B31" s="15" t="s">
        <v>42</v>
      </c>
      <c r="C31" s="17"/>
      <c r="D31" s="17"/>
      <c r="E31" s="17"/>
      <c r="F31" s="17"/>
      <c r="G31" s="17"/>
      <c r="H31" s="17"/>
      <c r="I31" s="17"/>
      <c r="J31" s="17"/>
      <c r="K31" s="17"/>
      <c r="L31" s="17"/>
      <c r="M31" s="17"/>
      <c r="N31" s="17"/>
      <c r="O31" s="17"/>
      <c r="P31" s="17"/>
      <c r="Q31" s="17"/>
      <c r="R31" s="17"/>
      <c r="S31" s="17"/>
      <c r="T31" s="17"/>
      <c r="U31" s="17"/>
      <c r="V31" s="17"/>
      <c r="W31" s="17"/>
      <c r="X31" s="17"/>
      <c r="Y31" s="17"/>
      <c r="Z31" s="17"/>
    </row>
    <row r="32" ht="761.25" customHeight="1">
      <c r="A32" s="1"/>
      <c r="B32" s="28" t="s">
        <v>43</v>
      </c>
      <c r="G32" s="1"/>
      <c r="H32" s="1"/>
      <c r="I32" s="1"/>
      <c r="J32" s="1"/>
      <c r="K32" s="1"/>
      <c r="L32" s="1"/>
      <c r="M32" s="1"/>
      <c r="N32" s="1"/>
      <c r="O32" s="1"/>
      <c r="P32" s="1"/>
      <c r="Q32" s="1"/>
      <c r="R32" s="1"/>
      <c r="S32" s="1"/>
      <c r="T32" s="1"/>
      <c r="U32" s="1"/>
      <c r="V32" s="1"/>
      <c r="W32" s="1"/>
      <c r="X32" s="1"/>
      <c r="Y32" s="1"/>
      <c r="Z32" s="1"/>
    </row>
    <row r="33" ht="85.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1.5" customHeight="1">
      <c r="A34" s="1"/>
      <c r="B34" s="15" t="s">
        <v>44</v>
      </c>
      <c r="C34" s="1"/>
      <c r="D34" s="1"/>
      <c r="E34" s="1"/>
      <c r="F34" s="1"/>
      <c r="G34" s="1"/>
      <c r="H34" s="1"/>
      <c r="I34" s="1"/>
      <c r="J34" s="1"/>
      <c r="K34" s="1"/>
      <c r="L34" s="1"/>
      <c r="M34" s="1"/>
      <c r="N34" s="1"/>
      <c r="O34" s="1"/>
      <c r="P34" s="1"/>
      <c r="Q34" s="1"/>
      <c r="R34" s="1"/>
      <c r="S34" s="1"/>
      <c r="T34" s="1"/>
      <c r="U34" s="1"/>
      <c r="V34" s="1"/>
      <c r="W34" s="1"/>
      <c r="X34" s="1"/>
      <c r="Y34" s="1"/>
      <c r="Z34" s="1"/>
    </row>
    <row r="35">
      <c r="A35" s="1"/>
      <c r="B35" s="29" t="s">
        <v>45</v>
      </c>
      <c r="G35" s="1"/>
      <c r="H35" s="1"/>
      <c r="I35" s="1"/>
      <c r="J35" s="1"/>
      <c r="K35" s="1"/>
      <c r="L35" s="1"/>
      <c r="M35" s="1"/>
      <c r="N35" s="1"/>
      <c r="O35" s="1"/>
      <c r="P35" s="1"/>
      <c r="Q35" s="1"/>
      <c r="R35" s="1"/>
      <c r="S35" s="1"/>
      <c r="T35" s="1"/>
      <c r="U35" s="1"/>
      <c r="V35" s="1"/>
      <c r="W35" s="1"/>
      <c r="X35" s="1"/>
      <c r="Y35" s="1"/>
      <c r="Z35" s="1"/>
    </row>
    <row r="36" ht="24.75" customHeight="1">
      <c r="A36" s="1"/>
      <c r="B36" s="30" t="s">
        <v>46</v>
      </c>
      <c r="G36" s="1"/>
      <c r="H36" s="1"/>
      <c r="I36" s="1"/>
      <c r="J36" s="1"/>
      <c r="K36" s="1"/>
      <c r="L36" s="1"/>
      <c r="M36" s="1"/>
      <c r="N36" s="1"/>
      <c r="O36" s="1"/>
      <c r="P36" s="1"/>
      <c r="Q36" s="1"/>
      <c r="R36" s="1"/>
      <c r="S36" s="1"/>
      <c r="T36" s="1"/>
      <c r="U36" s="1"/>
      <c r="V36" s="1"/>
      <c r="W36" s="1"/>
      <c r="X36" s="1"/>
      <c r="Y36" s="1"/>
      <c r="Z36" s="1"/>
    </row>
    <row r="37">
      <c r="A37" s="1"/>
      <c r="B37" s="31" t="s">
        <v>47</v>
      </c>
      <c r="G37" s="1"/>
      <c r="H37" s="1"/>
      <c r="I37" s="1"/>
      <c r="J37" s="1"/>
      <c r="K37" s="1"/>
      <c r="L37" s="1"/>
      <c r="M37" s="1"/>
      <c r="N37" s="1"/>
      <c r="O37" s="1"/>
      <c r="P37" s="1"/>
      <c r="Q37" s="1"/>
      <c r="R37" s="1"/>
      <c r="S37" s="1"/>
      <c r="T37" s="1"/>
      <c r="U37" s="1"/>
      <c r="V37" s="1"/>
      <c r="W37" s="1"/>
      <c r="X37" s="1"/>
      <c r="Y37" s="1"/>
      <c r="Z37" s="1"/>
    </row>
    <row r="38" ht="74.25" customHeight="1">
      <c r="A38" s="32"/>
      <c r="B38" s="33"/>
      <c r="C38" s="33"/>
      <c r="D38" s="33"/>
      <c r="E38" s="33"/>
      <c r="F38" s="33"/>
      <c r="G38" s="32"/>
      <c r="H38" s="32"/>
      <c r="I38" s="32"/>
      <c r="J38" s="32"/>
      <c r="K38" s="32"/>
      <c r="L38" s="32"/>
      <c r="M38" s="32"/>
      <c r="N38" s="32"/>
      <c r="O38" s="32"/>
      <c r="P38" s="32"/>
      <c r="Q38" s="32"/>
      <c r="R38" s="32"/>
      <c r="S38" s="32"/>
      <c r="T38" s="32"/>
      <c r="U38" s="32"/>
      <c r="V38" s="32"/>
      <c r="W38" s="32"/>
      <c r="X38" s="32"/>
      <c r="Y38" s="32"/>
      <c r="Z38" s="32"/>
    </row>
    <row r="39" ht="84.75" customHeight="1">
      <c r="A39" s="32"/>
      <c r="B39" s="33"/>
      <c r="C39" s="33"/>
      <c r="D39" s="33"/>
      <c r="E39" s="33"/>
      <c r="F39" s="33"/>
      <c r="G39" s="32"/>
      <c r="H39" s="32"/>
      <c r="I39" s="32"/>
      <c r="J39" s="32"/>
      <c r="K39" s="32"/>
      <c r="L39" s="32"/>
      <c r="M39" s="32"/>
      <c r="N39" s="32"/>
      <c r="O39" s="32"/>
      <c r="P39" s="32"/>
      <c r="Q39" s="32"/>
      <c r="R39" s="32"/>
      <c r="S39" s="32"/>
      <c r="T39" s="32"/>
      <c r="U39" s="32"/>
      <c r="V39" s="32"/>
      <c r="W39" s="32"/>
      <c r="X39" s="32"/>
      <c r="Y39" s="32"/>
      <c r="Z39" s="32"/>
    </row>
    <row r="40" ht="5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31" t="s">
        <v>48</v>
      </c>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ht="23.25" customHeight="1">
      <c r="A43" s="1"/>
      <c r="B43" s="30" t="s">
        <v>49</v>
      </c>
      <c r="G43" s="1"/>
      <c r="H43" s="1"/>
      <c r="I43" s="1"/>
      <c r="J43" s="1"/>
      <c r="K43" s="1"/>
      <c r="L43" s="1"/>
      <c r="M43" s="1"/>
      <c r="N43" s="1"/>
      <c r="O43" s="1"/>
      <c r="P43" s="1"/>
      <c r="Q43" s="1"/>
      <c r="R43" s="1"/>
      <c r="S43" s="1"/>
      <c r="T43" s="1"/>
      <c r="U43" s="1"/>
      <c r="V43" s="1"/>
      <c r="W43" s="1"/>
      <c r="X43" s="1"/>
      <c r="Y43" s="1"/>
      <c r="Z43" s="1"/>
    </row>
    <row r="44" ht="675.75" customHeight="1">
      <c r="A44" s="1"/>
      <c r="B44" s="34" t="s">
        <v>50</v>
      </c>
      <c r="G44" s="1"/>
      <c r="H44" s="1"/>
      <c r="I44" s="1"/>
      <c r="J44" s="1"/>
      <c r="K44" s="1"/>
      <c r="L44" s="1"/>
      <c r="M44" s="1"/>
      <c r="N44" s="1"/>
      <c r="O44" s="1"/>
      <c r="P44" s="1"/>
      <c r="Q44" s="1"/>
      <c r="R44" s="1"/>
      <c r="S44" s="1"/>
      <c r="T44" s="1"/>
      <c r="U44" s="1"/>
      <c r="V44" s="1"/>
      <c r="W44" s="1"/>
      <c r="X44" s="1"/>
      <c r="Y44" s="1"/>
      <c r="Z44" s="1"/>
    </row>
    <row r="45" ht="119.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19.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19.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29.25" customHeight="1">
      <c r="A48" s="1"/>
      <c r="B48" s="30" t="s">
        <v>51</v>
      </c>
      <c r="G48" s="1"/>
      <c r="H48" s="1"/>
      <c r="I48" s="1"/>
      <c r="J48" s="1"/>
      <c r="K48" s="1"/>
      <c r="L48" s="1"/>
      <c r="M48" s="1"/>
      <c r="N48" s="1"/>
      <c r="O48" s="1"/>
      <c r="P48" s="1"/>
      <c r="Q48" s="1"/>
      <c r="R48" s="1"/>
      <c r="S48" s="1"/>
      <c r="T48" s="1"/>
      <c r="U48" s="1"/>
      <c r="V48" s="1"/>
      <c r="W48" s="1"/>
      <c r="X48" s="1"/>
      <c r="Y48" s="1"/>
      <c r="Z48" s="1"/>
    </row>
    <row r="49" ht="282.75" customHeight="1">
      <c r="A49" s="1"/>
      <c r="B49" s="35"/>
      <c r="C49" s="36"/>
      <c r="D49" s="36"/>
      <c r="E49" s="36"/>
      <c r="F49" s="37"/>
      <c r="G49" s="1"/>
      <c r="H49" s="1"/>
      <c r="I49" s="1"/>
      <c r="J49" s="1"/>
      <c r="K49" s="1"/>
      <c r="L49" s="1"/>
      <c r="M49" s="1"/>
      <c r="N49" s="1"/>
      <c r="O49" s="1"/>
      <c r="P49" s="1"/>
      <c r="Q49" s="1"/>
      <c r="R49" s="1"/>
      <c r="S49" s="1"/>
      <c r="T49" s="1"/>
      <c r="U49" s="1"/>
      <c r="V49" s="1"/>
      <c r="W49" s="1"/>
      <c r="X49" s="1"/>
      <c r="Y49" s="1"/>
      <c r="Z49" s="1"/>
    </row>
    <row r="50" ht="41.25" customHeight="1">
      <c r="A50" s="1"/>
      <c r="B50" s="30" t="s">
        <v>52</v>
      </c>
      <c r="G50" s="1"/>
      <c r="H50" s="1"/>
      <c r="I50" s="1"/>
      <c r="J50" s="1"/>
      <c r="K50" s="1"/>
      <c r="L50" s="1"/>
      <c r="M50" s="1"/>
      <c r="N50" s="1"/>
      <c r="O50" s="1"/>
      <c r="P50" s="1"/>
      <c r="Q50" s="1"/>
      <c r="R50" s="1"/>
      <c r="S50" s="1"/>
      <c r="T50" s="1"/>
      <c r="U50" s="1"/>
      <c r="V50" s="1"/>
      <c r="W50" s="1"/>
      <c r="X50" s="1"/>
      <c r="Y50" s="1"/>
      <c r="Z50" s="1"/>
    </row>
    <row r="51" ht="300.75" customHeight="1">
      <c r="A51" s="1"/>
      <c r="B51" s="35"/>
      <c r="C51" s="36"/>
      <c r="D51" s="36"/>
      <c r="E51" s="36"/>
      <c r="F51" s="37"/>
      <c r="G51" s="1"/>
      <c r="H51" s="1"/>
      <c r="I51" s="1"/>
      <c r="J51" s="1"/>
      <c r="K51" s="1"/>
      <c r="L51" s="1"/>
      <c r="M51" s="1"/>
      <c r="N51" s="1"/>
      <c r="O51" s="1"/>
      <c r="P51" s="1"/>
      <c r="Q51" s="1"/>
      <c r="R51" s="1"/>
      <c r="S51" s="1"/>
      <c r="T51" s="1"/>
      <c r="U51" s="1"/>
      <c r="V51" s="1"/>
      <c r="W51" s="1"/>
      <c r="X51" s="1"/>
      <c r="Y51" s="1"/>
      <c r="Z51" s="1"/>
    </row>
    <row r="52" ht="40.5" customHeight="1">
      <c r="A52" s="1"/>
      <c r="B52" s="38" t="s">
        <v>53</v>
      </c>
      <c r="G52" s="1"/>
      <c r="H52" s="1"/>
      <c r="I52" s="1"/>
      <c r="J52" s="1"/>
      <c r="K52" s="1"/>
      <c r="L52" s="1"/>
      <c r="M52" s="1"/>
      <c r="N52" s="1"/>
      <c r="O52" s="1"/>
      <c r="P52" s="1"/>
      <c r="Q52" s="1"/>
      <c r="R52" s="1"/>
      <c r="S52" s="1"/>
      <c r="T52" s="1"/>
      <c r="U52" s="1"/>
      <c r="V52" s="1"/>
      <c r="W52" s="1"/>
      <c r="X52" s="1"/>
      <c r="Y52" s="1"/>
      <c r="Z52" s="1"/>
    </row>
    <row r="53">
      <c r="A53" s="6"/>
      <c r="B53" s="39" t="s">
        <v>54</v>
      </c>
      <c r="C53" s="39" t="s">
        <v>55</v>
      </c>
      <c r="D53" s="39" t="s">
        <v>56</v>
      </c>
      <c r="E53" s="39" t="s">
        <v>57</v>
      </c>
      <c r="F53" s="39" t="s">
        <v>58</v>
      </c>
      <c r="G53" s="1"/>
      <c r="H53" s="1"/>
      <c r="I53" s="1"/>
      <c r="J53" s="1"/>
      <c r="K53" s="1"/>
      <c r="L53" s="1"/>
      <c r="M53" s="1"/>
      <c r="N53" s="1"/>
      <c r="O53" s="1"/>
      <c r="P53" s="1"/>
      <c r="Q53" s="1"/>
      <c r="R53" s="1"/>
      <c r="S53" s="1"/>
      <c r="T53" s="1"/>
      <c r="U53" s="1"/>
      <c r="V53" s="1"/>
      <c r="W53" s="1"/>
      <c r="X53" s="1"/>
      <c r="Y53" s="1"/>
      <c r="Z53" s="1"/>
    </row>
    <row r="54">
      <c r="A54" s="40"/>
      <c r="B54" s="41" t="s">
        <v>59</v>
      </c>
      <c r="C54" s="42" t="s">
        <v>60</v>
      </c>
      <c r="D54" s="42" t="s">
        <v>61</v>
      </c>
      <c r="E54" s="42" t="s">
        <v>62</v>
      </c>
      <c r="F54" s="42" t="s">
        <v>63</v>
      </c>
      <c r="G54" s="40"/>
      <c r="H54" s="40"/>
      <c r="I54" s="40"/>
      <c r="J54" s="40"/>
      <c r="K54" s="40"/>
      <c r="L54" s="40"/>
      <c r="M54" s="40"/>
      <c r="N54" s="40"/>
      <c r="O54" s="40"/>
      <c r="P54" s="40"/>
      <c r="Q54" s="40"/>
      <c r="R54" s="40"/>
      <c r="S54" s="40"/>
      <c r="T54" s="40"/>
      <c r="U54" s="40"/>
      <c r="V54" s="40"/>
      <c r="W54" s="40"/>
      <c r="X54" s="40"/>
      <c r="Y54" s="40"/>
      <c r="Z54" s="40"/>
    </row>
    <row r="55">
      <c r="A55" s="40"/>
      <c r="B55" s="41" t="s">
        <v>64</v>
      </c>
      <c r="C55" s="42" t="s">
        <v>65</v>
      </c>
      <c r="D55" s="42" t="s">
        <v>66</v>
      </c>
      <c r="E55" s="42" t="s">
        <v>67</v>
      </c>
      <c r="F55" s="42" t="s">
        <v>68</v>
      </c>
      <c r="G55" s="40"/>
      <c r="H55" s="40"/>
      <c r="I55" s="40"/>
      <c r="J55" s="40"/>
      <c r="K55" s="40"/>
      <c r="L55" s="40"/>
      <c r="M55" s="40"/>
      <c r="N55" s="40"/>
      <c r="O55" s="40"/>
      <c r="P55" s="40"/>
      <c r="Q55" s="40"/>
      <c r="R55" s="40"/>
      <c r="S55" s="40"/>
      <c r="T55" s="40"/>
      <c r="U55" s="40"/>
      <c r="V55" s="40"/>
      <c r="W55" s="40"/>
      <c r="X55" s="40"/>
      <c r="Y55" s="40"/>
      <c r="Z55" s="40"/>
    </row>
    <row r="56">
      <c r="A56" s="40"/>
      <c r="B56" s="41" t="s">
        <v>69</v>
      </c>
      <c r="C56" s="42" t="s">
        <v>70</v>
      </c>
      <c r="D56" s="42" t="s">
        <v>71</v>
      </c>
      <c r="E56" s="42" t="s">
        <v>72</v>
      </c>
      <c r="F56" s="42" t="s">
        <v>73</v>
      </c>
      <c r="G56" s="40"/>
      <c r="H56" s="40"/>
      <c r="I56" s="40"/>
      <c r="J56" s="40"/>
      <c r="K56" s="40"/>
      <c r="L56" s="40"/>
      <c r="M56" s="40"/>
      <c r="N56" s="40"/>
      <c r="O56" s="40"/>
      <c r="P56" s="40"/>
      <c r="Q56" s="40"/>
      <c r="R56" s="40"/>
      <c r="S56" s="40"/>
      <c r="T56" s="40"/>
      <c r="U56" s="40"/>
      <c r="V56" s="40"/>
      <c r="W56" s="40"/>
      <c r="X56" s="40"/>
      <c r="Y56" s="40"/>
      <c r="Z56" s="40"/>
    </row>
    <row r="57">
      <c r="A57" s="40"/>
      <c r="B57" s="41" t="s">
        <v>74</v>
      </c>
      <c r="C57" s="42" t="s">
        <v>75</v>
      </c>
      <c r="D57" s="42" t="s">
        <v>76</v>
      </c>
      <c r="E57" s="42" t="s">
        <v>77</v>
      </c>
      <c r="F57" s="42" t="s">
        <v>78</v>
      </c>
      <c r="G57" s="40"/>
      <c r="H57" s="40"/>
      <c r="I57" s="40"/>
      <c r="J57" s="40"/>
      <c r="K57" s="40"/>
      <c r="L57" s="40"/>
      <c r="M57" s="40"/>
      <c r="N57" s="40"/>
      <c r="O57" s="40"/>
      <c r="P57" s="40"/>
      <c r="Q57" s="40"/>
      <c r="R57" s="40"/>
      <c r="S57" s="40"/>
      <c r="T57" s="40"/>
      <c r="U57" s="40"/>
      <c r="V57" s="40"/>
      <c r="W57" s="40"/>
      <c r="X57" s="40"/>
      <c r="Y57" s="40"/>
      <c r="Z57" s="40"/>
    </row>
    <row r="58">
      <c r="A58" s="40"/>
      <c r="B58" s="41" t="s">
        <v>79</v>
      </c>
      <c r="C58" s="42" t="s">
        <v>80</v>
      </c>
      <c r="D58" s="42" t="s">
        <v>81</v>
      </c>
      <c r="E58" s="42" t="s">
        <v>82</v>
      </c>
      <c r="F58" s="42" t="s">
        <v>83</v>
      </c>
      <c r="G58" s="40"/>
      <c r="H58" s="40"/>
      <c r="I58" s="40"/>
      <c r="J58" s="40"/>
      <c r="K58" s="40"/>
      <c r="L58" s="40"/>
      <c r="M58" s="40"/>
      <c r="N58" s="40"/>
      <c r="O58" s="40"/>
      <c r="P58" s="40"/>
      <c r="Q58" s="40"/>
      <c r="R58" s="40"/>
      <c r="S58" s="40"/>
      <c r="T58" s="40"/>
      <c r="U58" s="40"/>
      <c r="V58" s="40"/>
      <c r="W58" s="40"/>
      <c r="X58" s="40"/>
      <c r="Y58" s="40"/>
      <c r="Z58" s="40"/>
    </row>
    <row r="59">
      <c r="A59" s="40"/>
      <c r="B59" s="41" t="s">
        <v>84</v>
      </c>
      <c r="C59" s="42" t="s">
        <v>85</v>
      </c>
      <c r="D59" s="42" t="s">
        <v>86</v>
      </c>
      <c r="E59" s="42" t="s">
        <v>87</v>
      </c>
      <c r="F59" s="42" t="s">
        <v>88</v>
      </c>
      <c r="G59" s="40"/>
      <c r="H59" s="40"/>
      <c r="I59" s="40"/>
      <c r="J59" s="40"/>
      <c r="K59" s="40"/>
      <c r="L59" s="40"/>
      <c r="M59" s="40"/>
      <c r="N59" s="40"/>
      <c r="O59" s="40"/>
      <c r="P59" s="40"/>
      <c r="Q59" s="40"/>
      <c r="R59" s="40"/>
      <c r="S59" s="40"/>
      <c r="T59" s="40"/>
      <c r="U59" s="40"/>
      <c r="V59" s="40"/>
      <c r="W59" s="40"/>
      <c r="X59" s="40"/>
      <c r="Y59" s="40"/>
      <c r="Z59" s="40"/>
    </row>
    <row r="60">
      <c r="A60" s="40"/>
      <c r="B60" s="41" t="s">
        <v>89</v>
      </c>
      <c r="C60" s="42" t="s">
        <v>90</v>
      </c>
      <c r="D60" s="42" t="s">
        <v>91</v>
      </c>
      <c r="E60" s="42" t="s">
        <v>92</v>
      </c>
      <c r="F60" s="42" t="s">
        <v>93</v>
      </c>
      <c r="G60" s="40"/>
      <c r="H60" s="40"/>
      <c r="I60" s="40"/>
      <c r="J60" s="40"/>
      <c r="K60" s="40"/>
      <c r="L60" s="40"/>
      <c r="M60" s="40"/>
      <c r="N60" s="40"/>
      <c r="O60" s="40"/>
      <c r="P60" s="40"/>
      <c r="Q60" s="40"/>
      <c r="R60" s="40"/>
      <c r="S60" s="40"/>
      <c r="T60" s="40"/>
      <c r="U60" s="40"/>
      <c r="V60" s="40"/>
      <c r="W60" s="40"/>
      <c r="X60" s="40"/>
      <c r="Y60" s="40"/>
      <c r="Z60" s="40"/>
    </row>
    <row r="61">
      <c r="A61" s="40"/>
      <c r="B61" s="41" t="s">
        <v>94</v>
      </c>
      <c r="C61" s="42" t="s">
        <v>95</v>
      </c>
      <c r="D61" s="42" t="s">
        <v>96</v>
      </c>
      <c r="E61" s="42" t="s">
        <v>97</v>
      </c>
      <c r="F61" s="42" t="s">
        <v>98</v>
      </c>
      <c r="G61" s="40"/>
      <c r="H61" s="40"/>
      <c r="I61" s="40"/>
      <c r="J61" s="40"/>
      <c r="K61" s="40"/>
      <c r="L61" s="40"/>
      <c r="M61" s="40"/>
      <c r="N61" s="40"/>
      <c r="O61" s="40"/>
      <c r="P61" s="40"/>
      <c r="Q61" s="40"/>
      <c r="R61" s="40"/>
      <c r="S61" s="40"/>
      <c r="T61" s="40"/>
      <c r="U61" s="40"/>
      <c r="V61" s="40"/>
      <c r="W61" s="40"/>
      <c r="X61" s="40"/>
      <c r="Y61" s="40"/>
      <c r="Z61" s="40"/>
    </row>
    <row r="62">
      <c r="A62" s="40"/>
      <c r="B62" s="41" t="s">
        <v>99</v>
      </c>
      <c r="C62" s="42" t="s">
        <v>100</v>
      </c>
      <c r="D62" s="42" t="s">
        <v>101</v>
      </c>
      <c r="E62" s="42" t="s">
        <v>102</v>
      </c>
      <c r="F62" s="42" t="s">
        <v>103</v>
      </c>
      <c r="G62" s="40"/>
      <c r="H62" s="40"/>
      <c r="I62" s="40"/>
      <c r="J62" s="40"/>
      <c r="K62" s="40"/>
      <c r="L62" s="40"/>
      <c r="M62" s="40"/>
      <c r="N62" s="40"/>
      <c r="O62" s="40"/>
      <c r="P62" s="40"/>
      <c r="Q62" s="40"/>
      <c r="R62" s="40"/>
      <c r="S62" s="40"/>
      <c r="T62" s="40"/>
      <c r="U62" s="40"/>
      <c r="V62" s="40"/>
      <c r="W62" s="40"/>
      <c r="X62" s="40"/>
      <c r="Y62" s="40"/>
      <c r="Z62" s="40"/>
    </row>
    <row r="63">
      <c r="A63" s="40"/>
      <c r="B63" s="41" t="s">
        <v>104</v>
      </c>
      <c r="C63" s="42" t="s">
        <v>105</v>
      </c>
      <c r="D63" s="42" t="s">
        <v>106</v>
      </c>
      <c r="E63" s="42" t="s">
        <v>107</v>
      </c>
      <c r="F63" s="42" t="s">
        <v>108</v>
      </c>
      <c r="G63" s="40"/>
      <c r="H63" s="40"/>
      <c r="I63" s="40"/>
      <c r="J63" s="40"/>
      <c r="K63" s="40"/>
      <c r="L63" s="40"/>
      <c r="M63" s="40"/>
      <c r="N63" s="40"/>
      <c r="O63" s="40"/>
      <c r="P63" s="40"/>
      <c r="Q63" s="40"/>
      <c r="R63" s="40"/>
      <c r="S63" s="40"/>
      <c r="T63" s="40"/>
      <c r="U63" s="40"/>
      <c r="V63" s="40"/>
      <c r="W63" s="40"/>
      <c r="X63" s="40"/>
      <c r="Y63" s="40"/>
      <c r="Z63" s="40"/>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43"/>
      <c r="B66" s="44" t="s">
        <v>109</v>
      </c>
      <c r="C66" s="43"/>
      <c r="D66" s="44" t="s">
        <v>110</v>
      </c>
      <c r="F66" s="44"/>
      <c r="G66" s="43"/>
      <c r="H66" s="43"/>
      <c r="I66" s="43"/>
      <c r="J66" s="43"/>
      <c r="K66" s="43"/>
      <c r="L66" s="43"/>
      <c r="M66" s="43"/>
      <c r="N66" s="43"/>
      <c r="O66" s="43"/>
      <c r="P66" s="43"/>
      <c r="Q66" s="43"/>
      <c r="R66" s="43"/>
      <c r="S66" s="43"/>
      <c r="T66" s="43"/>
      <c r="U66" s="43"/>
      <c r="V66" s="43"/>
      <c r="W66" s="43"/>
      <c r="X66" s="43"/>
      <c r="Y66" s="43"/>
      <c r="Z66" s="43"/>
    </row>
    <row r="67">
      <c r="A67" s="43"/>
      <c r="B67" s="45"/>
      <c r="C67" s="46"/>
      <c r="D67" s="45"/>
      <c r="E67" s="46"/>
      <c r="F67" s="43"/>
      <c r="G67" s="43"/>
      <c r="H67" s="43"/>
      <c r="I67" s="43"/>
      <c r="J67" s="43"/>
      <c r="K67" s="43"/>
      <c r="L67" s="43"/>
      <c r="M67" s="43"/>
      <c r="N67" s="43"/>
      <c r="O67" s="43"/>
      <c r="P67" s="43"/>
      <c r="Q67" s="43"/>
      <c r="R67" s="43"/>
      <c r="S67" s="43"/>
      <c r="T67" s="43"/>
      <c r="U67" s="43"/>
      <c r="V67" s="43"/>
      <c r="W67" s="43"/>
      <c r="X67" s="43"/>
      <c r="Y67" s="43"/>
      <c r="Z67" s="43"/>
    </row>
    <row r="68">
      <c r="A68" s="43"/>
      <c r="B68" s="47"/>
      <c r="C68" s="48"/>
      <c r="D68" s="47"/>
      <c r="E68" s="48"/>
      <c r="F68" s="43"/>
      <c r="G68" s="43"/>
      <c r="H68" s="43"/>
      <c r="I68" s="43"/>
      <c r="J68" s="43"/>
      <c r="K68" s="43"/>
      <c r="L68" s="43"/>
      <c r="M68" s="43"/>
      <c r="N68" s="43"/>
      <c r="O68" s="43"/>
      <c r="P68" s="43"/>
      <c r="Q68" s="43"/>
      <c r="R68" s="43"/>
      <c r="S68" s="43"/>
      <c r="T68" s="43"/>
      <c r="U68" s="43"/>
      <c r="V68" s="43"/>
      <c r="W68" s="43"/>
      <c r="X68" s="43"/>
      <c r="Y68" s="43"/>
      <c r="Z68" s="43"/>
    </row>
    <row r="69">
      <c r="A69" s="43"/>
      <c r="B69" s="49"/>
      <c r="C69" s="50"/>
      <c r="D69" s="49"/>
      <c r="E69" s="50"/>
      <c r="F69" s="43"/>
      <c r="G69" s="43"/>
      <c r="H69" s="43"/>
      <c r="I69" s="43"/>
      <c r="J69" s="43"/>
      <c r="K69" s="43"/>
      <c r="L69" s="43"/>
      <c r="M69" s="43"/>
      <c r="N69" s="43"/>
      <c r="O69" s="43"/>
      <c r="P69" s="43"/>
      <c r="Q69" s="43"/>
      <c r="R69" s="43"/>
      <c r="S69" s="43"/>
      <c r="T69" s="43"/>
      <c r="U69" s="43"/>
      <c r="V69" s="43"/>
      <c r="W69" s="43"/>
      <c r="X69" s="43"/>
      <c r="Y69" s="43"/>
      <c r="Z69" s="43"/>
    </row>
    <row r="70">
      <c r="A70" s="43"/>
      <c r="B70" s="51" t="s">
        <v>111</v>
      </c>
      <c r="C70" s="52"/>
      <c r="D70" s="51" t="s">
        <v>112</v>
      </c>
      <c r="E70" s="52"/>
      <c r="F70" s="43"/>
      <c r="G70" s="43"/>
      <c r="H70" s="43"/>
      <c r="I70" s="43"/>
      <c r="J70" s="43"/>
      <c r="K70" s="43"/>
      <c r="L70" s="43"/>
      <c r="M70" s="43"/>
      <c r="N70" s="43"/>
      <c r="O70" s="43"/>
      <c r="P70" s="43"/>
      <c r="Q70" s="43"/>
      <c r="R70" s="43"/>
      <c r="S70" s="43"/>
      <c r="T70" s="43"/>
      <c r="U70" s="43"/>
      <c r="V70" s="43"/>
      <c r="W70" s="43"/>
      <c r="X70" s="43"/>
      <c r="Y70" s="43"/>
      <c r="Z70" s="43"/>
    </row>
    <row r="71">
      <c r="A71" s="43"/>
      <c r="B71" s="53" t="s">
        <v>113</v>
      </c>
      <c r="C71" s="52"/>
      <c r="D71" s="53" t="s">
        <v>114</v>
      </c>
      <c r="E71" s="52"/>
      <c r="F71" s="43"/>
      <c r="G71" s="43"/>
      <c r="H71" s="43"/>
      <c r="I71" s="43"/>
      <c r="J71" s="43"/>
      <c r="K71" s="43"/>
      <c r="L71" s="43"/>
      <c r="M71" s="43"/>
      <c r="N71" s="43"/>
      <c r="O71" s="43"/>
      <c r="P71" s="43"/>
      <c r="Q71" s="43"/>
      <c r="R71" s="43"/>
      <c r="S71" s="43"/>
      <c r="T71" s="43"/>
      <c r="U71" s="43"/>
      <c r="V71" s="43"/>
      <c r="W71" s="43"/>
      <c r="X71" s="43"/>
      <c r="Y71" s="43"/>
      <c r="Z71" s="43"/>
    </row>
    <row r="72">
      <c r="A72" s="1"/>
      <c r="B72" s="1"/>
      <c r="C72" s="1"/>
      <c r="D72" s="1"/>
      <c r="E72" s="1"/>
      <c r="F72" s="43"/>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sheetData>
  <mergeCells count="28">
    <mergeCell ref="A2:G2"/>
    <mergeCell ref="A3:G3"/>
    <mergeCell ref="A4:G4"/>
    <mergeCell ref="B16:F16"/>
    <mergeCell ref="B19:F19"/>
    <mergeCell ref="B23:F23"/>
    <mergeCell ref="B26:C26"/>
    <mergeCell ref="D26:F26"/>
    <mergeCell ref="B30:F30"/>
    <mergeCell ref="B32:F32"/>
    <mergeCell ref="B35:F35"/>
    <mergeCell ref="B36:F36"/>
    <mergeCell ref="B37:F37"/>
    <mergeCell ref="B41:F41"/>
    <mergeCell ref="D66:E66"/>
    <mergeCell ref="B67:C69"/>
    <mergeCell ref="D67:E69"/>
    <mergeCell ref="B70:C70"/>
    <mergeCell ref="D70:E70"/>
    <mergeCell ref="B71:C71"/>
    <mergeCell ref="D71:E71"/>
    <mergeCell ref="B43:F43"/>
    <mergeCell ref="B44:F44"/>
    <mergeCell ref="B48:F48"/>
    <mergeCell ref="B49:F49"/>
    <mergeCell ref="B50:F50"/>
    <mergeCell ref="B51:F51"/>
    <mergeCell ref="B52:F52"/>
  </mergeCells>
  <printOptions gridLines="1" horizontalCentered="1"/>
  <pageMargins bottom="1.0" footer="0.0" header="0.0" left="1.0" right="1.0" top="1.0"/>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4.0"/>
    <col customWidth="1" min="2" max="2" width="19.33"/>
    <col customWidth="1" min="3" max="3" width="27.33"/>
    <col customWidth="1" min="4" max="5" width="14.11"/>
  </cols>
  <sheetData>
    <row r="1">
      <c r="A1" s="54" t="s">
        <v>115</v>
      </c>
    </row>
    <row r="2">
      <c r="A2" s="55" t="s">
        <v>116</v>
      </c>
      <c r="B2" s="55" t="s">
        <v>117</v>
      </c>
      <c r="C2" s="55" t="s">
        <v>118</v>
      </c>
      <c r="D2" s="55" t="s">
        <v>119</v>
      </c>
      <c r="E2" s="55" t="s">
        <v>120</v>
      </c>
    </row>
    <row r="3">
      <c r="A3" s="56"/>
      <c r="B3" s="56"/>
      <c r="C3" s="56"/>
      <c r="D3" s="56"/>
      <c r="E3" s="56"/>
    </row>
    <row r="4">
      <c r="A4" s="56"/>
      <c r="B4" s="56"/>
      <c r="C4" s="56"/>
      <c r="D4" s="56"/>
      <c r="E4" s="56"/>
    </row>
    <row r="5">
      <c r="A5" s="56"/>
      <c r="B5" s="56"/>
      <c r="C5" s="56"/>
      <c r="D5" s="56"/>
      <c r="E5" s="56"/>
    </row>
    <row r="7">
      <c r="A7" s="57" t="s">
        <v>121</v>
      </c>
      <c r="B7" s="58"/>
      <c r="C7" s="58"/>
      <c r="D7" s="58"/>
      <c r="E7" s="59"/>
    </row>
    <row r="8">
      <c r="A8" s="60" t="s">
        <v>122</v>
      </c>
      <c r="B8" s="59"/>
      <c r="C8" s="60" t="s">
        <v>123</v>
      </c>
      <c r="D8" s="59"/>
      <c r="E8" s="61" t="s">
        <v>124</v>
      </c>
    </row>
    <row r="9">
      <c r="A9" s="62"/>
      <c r="B9" s="59"/>
      <c r="C9" s="63"/>
      <c r="D9" s="59"/>
      <c r="E9" s="64"/>
    </row>
    <row r="10">
      <c r="A10" s="62"/>
      <c r="B10" s="59"/>
      <c r="C10" s="62"/>
      <c r="D10" s="59"/>
      <c r="E10" s="64"/>
    </row>
    <row r="11">
      <c r="A11" s="62"/>
      <c r="B11" s="59"/>
      <c r="C11" s="62"/>
      <c r="D11" s="59"/>
      <c r="E11" s="64"/>
    </row>
    <row r="12">
      <c r="A12" s="62"/>
      <c r="B12" s="59"/>
      <c r="C12" s="62"/>
      <c r="D12" s="59"/>
      <c r="E12" s="64"/>
    </row>
    <row r="13">
      <c r="A13" s="62"/>
      <c r="B13" s="59"/>
      <c r="C13" s="62"/>
      <c r="D13" s="59"/>
      <c r="E13" s="64"/>
    </row>
    <row r="14">
      <c r="A14" s="62"/>
      <c r="B14" s="59"/>
      <c r="C14" s="62"/>
      <c r="D14" s="59"/>
      <c r="E14" s="64"/>
    </row>
    <row r="15">
      <c r="A15" s="62"/>
      <c r="B15" s="59"/>
      <c r="C15" s="62"/>
      <c r="D15" s="59"/>
      <c r="E15" s="64"/>
    </row>
    <row r="17">
      <c r="A17" s="57" t="s">
        <v>125</v>
      </c>
      <c r="B17" s="58"/>
      <c r="C17" s="58"/>
      <c r="D17" s="58"/>
      <c r="E17" s="59"/>
    </row>
    <row r="18">
      <c r="A18" s="65" t="s">
        <v>126</v>
      </c>
      <c r="B18" s="59"/>
      <c r="C18" s="65" t="s">
        <v>127</v>
      </c>
      <c r="D18" s="58"/>
      <c r="E18" s="59"/>
    </row>
    <row r="19">
      <c r="A19" s="66" t="s">
        <v>128</v>
      </c>
      <c r="B19" s="59"/>
      <c r="C19" s="67" t="s">
        <v>129</v>
      </c>
      <c r="D19" s="58"/>
      <c r="E19" s="59"/>
    </row>
    <row r="20">
      <c r="A20" s="66" t="s">
        <v>130</v>
      </c>
      <c r="B20" s="59"/>
      <c r="C20" s="68"/>
      <c r="D20" s="68"/>
      <c r="E20" s="68"/>
    </row>
    <row r="21">
      <c r="A21" s="69"/>
      <c r="B21" s="69"/>
      <c r="C21" s="69"/>
      <c r="D21" s="69"/>
      <c r="E21" s="69"/>
    </row>
    <row r="22">
      <c r="A22" s="57" t="s">
        <v>131</v>
      </c>
      <c r="B22" s="58"/>
      <c r="C22" s="58"/>
      <c r="D22" s="58"/>
      <c r="E22" s="59"/>
    </row>
    <row r="23">
      <c r="A23" s="70" t="s">
        <v>132</v>
      </c>
      <c r="B23" s="58"/>
      <c r="C23" s="58"/>
      <c r="D23" s="58"/>
      <c r="E23" s="59"/>
    </row>
    <row r="24" ht="138.75" customHeight="1">
      <c r="A24" s="71"/>
      <c r="B24" s="58"/>
      <c r="C24" s="58"/>
      <c r="D24" s="58"/>
      <c r="E24" s="59"/>
    </row>
    <row r="26">
      <c r="A26" s="70" t="s">
        <v>133</v>
      </c>
      <c r="B26" s="58"/>
      <c r="C26" s="58"/>
      <c r="D26" s="58"/>
      <c r="E26" s="59"/>
    </row>
    <row r="27" ht="159.0" customHeight="1">
      <c r="A27" s="71"/>
      <c r="B27" s="58"/>
      <c r="C27" s="58"/>
      <c r="D27" s="58"/>
      <c r="E27" s="59"/>
    </row>
  </sheetData>
  <mergeCells count="29">
    <mergeCell ref="A1:E1"/>
    <mergeCell ref="A7:E7"/>
    <mergeCell ref="A8:B8"/>
    <mergeCell ref="C8:D8"/>
    <mergeCell ref="A9:B9"/>
    <mergeCell ref="C9:D9"/>
    <mergeCell ref="C10:D10"/>
    <mergeCell ref="A10:B10"/>
    <mergeCell ref="A11:B11"/>
    <mergeCell ref="C11:D11"/>
    <mergeCell ref="A12:B12"/>
    <mergeCell ref="C12:D12"/>
    <mergeCell ref="A13:B13"/>
    <mergeCell ref="C13:D13"/>
    <mergeCell ref="A19:B19"/>
    <mergeCell ref="C19:E19"/>
    <mergeCell ref="A20:B20"/>
    <mergeCell ref="A22:E22"/>
    <mergeCell ref="A23:E23"/>
    <mergeCell ref="A24:E24"/>
    <mergeCell ref="A26:E26"/>
    <mergeCell ref="A27:E27"/>
    <mergeCell ref="A14:B14"/>
    <mergeCell ref="C14:D14"/>
    <mergeCell ref="A15:B15"/>
    <mergeCell ref="C15:D15"/>
    <mergeCell ref="A17:E17"/>
    <mergeCell ref="A18:B18"/>
    <mergeCell ref="C18:E18"/>
  </mergeCells>
  <dataValidations>
    <dataValidation type="list" allowBlank="1" showErrorMessage="1" sqref="E9:E15">
      <formula1>"Interna,Externa"</formula1>
    </dataValidation>
  </dataValidations>
  <hyperlinks>
    <hyperlink r:id="rId1" ref="C1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1A9E0"/>
    <pageSetUpPr fitToPage="1"/>
  </sheetPr>
  <sheetViews>
    <sheetView showGridLines="0" workbookViewId="0"/>
  </sheetViews>
  <sheetFormatPr customHeight="1" defaultColWidth="11.22" defaultRowHeight="15.0"/>
  <cols>
    <col customWidth="1" min="1" max="1" width="3.33"/>
    <col customWidth="1" min="2" max="2" width="35.89"/>
    <col customWidth="1" min="3" max="3" width="20.89"/>
    <col customWidth="1" min="4" max="6" width="10.89"/>
    <col customWidth="1" min="7" max="7" width="17.89"/>
    <col customWidth="1" min="8" max="8" width="20.89"/>
    <col customWidth="1" min="9" max="9" width="15.89"/>
    <col customWidth="1" min="10" max="10" width="50.89"/>
    <col customWidth="1" min="11" max="11" width="3.33"/>
    <col customWidth="1" min="12" max="30" width="11.0"/>
  </cols>
  <sheetData>
    <row r="1" ht="49.5" customHeight="1">
      <c r="A1" s="72"/>
      <c r="B1" s="73" t="s">
        <v>134</v>
      </c>
      <c r="H1" s="74" t="s">
        <v>135</v>
      </c>
      <c r="K1" s="72"/>
      <c r="L1" s="72"/>
      <c r="M1" s="72"/>
      <c r="N1" s="72"/>
      <c r="O1" s="72"/>
      <c r="P1" s="72"/>
      <c r="Q1" s="72"/>
      <c r="R1" s="72"/>
      <c r="S1" s="72"/>
      <c r="T1" s="72"/>
      <c r="U1" s="72"/>
      <c r="V1" s="72"/>
      <c r="W1" s="72"/>
      <c r="X1" s="72"/>
      <c r="Y1" s="72"/>
      <c r="Z1" s="72"/>
      <c r="AA1" s="72"/>
      <c r="AB1" s="72"/>
      <c r="AC1" s="72"/>
      <c r="AD1" s="72"/>
    </row>
    <row r="2" ht="24.75" customHeight="1">
      <c r="A2" s="75"/>
      <c r="B2" s="76" t="s">
        <v>136</v>
      </c>
      <c r="C2" s="77"/>
      <c r="D2" s="78"/>
      <c r="E2" s="78"/>
      <c r="F2" s="78"/>
      <c r="G2" s="79" t="s">
        <v>137</v>
      </c>
      <c r="H2" s="80" t="s">
        <v>138</v>
      </c>
      <c r="I2" s="79" t="s">
        <v>139</v>
      </c>
      <c r="J2" s="75"/>
      <c r="K2" s="75"/>
      <c r="L2" s="75"/>
      <c r="M2" s="75"/>
      <c r="N2" s="75"/>
      <c r="O2" s="75"/>
      <c r="P2" s="75"/>
      <c r="Q2" s="75"/>
      <c r="R2" s="75"/>
      <c r="S2" s="75"/>
      <c r="T2" s="75"/>
      <c r="U2" s="75"/>
      <c r="V2" s="75"/>
      <c r="W2" s="75"/>
      <c r="X2" s="75"/>
      <c r="Y2" s="75"/>
      <c r="Z2" s="75"/>
      <c r="AA2" s="81"/>
      <c r="AB2" s="81"/>
      <c r="AC2" s="81"/>
      <c r="AD2" s="81"/>
    </row>
    <row r="3" ht="34.5" customHeight="1">
      <c r="A3" s="72"/>
      <c r="B3" s="82" t="s">
        <v>140</v>
      </c>
      <c r="C3" s="83"/>
      <c r="D3" s="83"/>
      <c r="E3" s="83"/>
      <c r="F3" s="84"/>
      <c r="G3" s="85">
        <v>46055.0</v>
      </c>
      <c r="H3" s="86" t="s">
        <v>141</v>
      </c>
      <c r="I3" s="87">
        <v>0.3</v>
      </c>
      <c r="J3" s="72"/>
      <c r="K3" s="72"/>
      <c r="L3" s="72"/>
      <c r="M3" s="72"/>
      <c r="N3" s="72"/>
      <c r="O3" s="72"/>
      <c r="P3" s="72"/>
      <c r="Q3" s="72"/>
      <c r="R3" s="72"/>
      <c r="S3" s="72"/>
      <c r="T3" s="72"/>
      <c r="U3" s="72"/>
      <c r="V3" s="72"/>
      <c r="W3" s="72"/>
      <c r="X3" s="72"/>
      <c r="Y3" s="72"/>
      <c r="Z3" s="72"/>
      <c r="AA3" s="88"/>
      <c r="AB3" s="88"/>
      <c r="AC3" s="88"/>
      <c r="AD3" s="88"/>
    </row>
    <row r="4" ht="34.5" customHeight="1">
      <c r="A4" s="72"/>
      <c r="B4" s="89" t="s">
        <v>142</v>
      </c>
      <c r="C4" s="90"/>
      <c r="D4" s="90"/>
      <c r="E4" s="90"/>
      <c r="F4" s="90"/>
      <c r="G4" s="91"/>
      <c r="H4" s="92"/>
      <c r="I4" s="93"/>
      <c r="J4" s="72"/>
      <c r="K4" s="72"/>
      <c r="L4" s="72"/>
      <c r="M4" s="72"/>
      <c r="N4" s="72"/>
      <c r="O4" s="72"/>
      <c r="P4" s="72"/>
      <c r="Q4" s="72"/>
      <c r="R4" s="72"/>
      <c r="S4" s="72"/>
      <c r="T4" s="72"/>
      <c r="U4" s="72"/>
      <c r="V4" s="72"/>
      <c r="W4" s="72"/>
      <c r="X4" s="72"/>
      <c r="Y4" s="72"/>
      <c r="Z4" s="72"/>
      <c r="AA4" s="88"/>
      <c r="AB4" s="88"/>
      <c r="AC4" s="88"/>
      <c r="AD4" s="88"/>
    </row>
    <row r="5" ht="408.75" customHeight="1">
      <c r="A5" s="72"/>
      <c r="B5" s="72"/>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row>
    <row r="6" ht="376.5" customHeight="1">
      <c r="A6" s="72"/>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2"/>
      <c r="AD6" s="72"/>
    </row>
    <row r="7" ht="13.5" customHeight="1">
      <c r="A7" s="72"/>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2"/>
      <c r="AD7" s="72"/>
    </row>
    <row r="8" ht="34.5" customHeight="1">
      <c r="A8" s="72"/>
      <c r="B8" s="94" t="s">
        <v>143</v>
      </c>
      <c r="C8" s="72"/>
      <c r="D8" s="72"/>
      <c r="E8" s="72"/>
      <c r="F8" s="72"/>
      <c r="G8" s="72"/>
      <c r="H8" s="72"/>
      <c r="I8" s="72"/>
      <c r="J8" s="72"/>
      <c r="K8" s="72"/>
      <c r="L8" s="72"/>
      <c r="M8" s="72"/>
      <c r="N8" s="72"/>
      <c r="O8" s="72"/>
      <c r="P8" s="72"/>
      <c r="Q8" s="72"/>
      <c r="R8" s="72"/>
      <c r="S8" s="72"/>
      <c r="T8" s="72"/>
      <c r="U8" s="72"/>
      <c r="V8" s="72"/>
      <c r="W8" s="72"/>
      <c r="X8" s="72"/>
      <c r="Y8" s="72"/>
      <c r="Z8" s="72"/>
      <c r="AA8" s="72"/>
      <c r="AB8" s="72"/>
      <c r="AC8" s="72"/>
      <c r="AD8" s="72"/>
    </row>
    <row r="9" ht="24.75" customHeight="1">
      <c r="A9" s="72"/>
      <c r="B9" s="95" t="s">
        <v>144</v>
      </c>
      <c r="C9" s="72"/>
      <c r="D9" s="72"/>
      <c r="E9" s="72"/>
      <c r="F9" s="72"/>
      <c r="G9" s="72"/>
      <c r="H9" s="72"/>
      <c r="I9" s="72"/>
      <c r="J9" s="72"/>
      <c r="K9" s="72"/>
      <c r="L9" s="72"/>
      <c r="M9" s="72"/>
      <c r="N9" s="72"/>
      <c r="O9" s="72"/>
      <c r="P9" s="72"/>
      <c r="Q9" s="72"/>
      <c r="R9" s="72"/>
      <c r="S9" s="72"/>
      <c r="T9" s="72"/>
      <c r="U9" s="72"/>
      <c r="V9" s="72"/>
      <c r="W9" s="72"/>
      <c r="X9" s="72"/>
      <c r="Y9" s="72"/>
      <c r="Z9" s="72"/>
      <c r="AA9" s="72"/>
      <c r="AB9" s="72"/>
      <c r="AC9" s="72"/>
      <c r="AD9" s="72"/>
    </row>
    <row r="10" ht="34.5" customHeight="1">
      <c r="A10" s="96"/>
      <c r="B10" s="97" t="s">
        <v>145</v>
      </c>
      <c r="C10" s="97" t="s">
        <v>146</v>
      </c>
      <c r="D10" s="98" t="s">
        <v>147</v>
      </c>
      <c r="E10" s="99" t="s">
        <v>148</v>
      </c>
      <c r="F10" s="99" t="s">
        <v>149</v>
      </c>
      <c r="G10" s="99" t="s">
        <v>150</v>
      </c>
      <c r="H10" s="100" t="s">
        <v>151</v>
      </c>
      <c r="I10" s="101" t="s">
        <v>152</v>
      </c>
      <c r="J10" s="101" t="s">
        <v>153</v>
      </c>
      <c r="K10" s="96"/>
      <c r="L10" s="96"/>
      <c r="M10" s="96"/>
      <c r="N10" s="96"/>
      <c r="O10" s="96"/>
      <c r="P10" s="96"/>
      <c r="Q10" s="96"/>
      <c r="R10" s="96"/>
      <c r="S10" s="96"/>
      <c r="T10" s="96"/>
      <c r="U10" s="96"/>
      <c r="V10" s="96"/>
      <c r="W10" s="96"/>
      <c r="X10" s="96"/>
      <c r="Y10" s="96"/>
      <c r="Z10" s="96"/>
      <c r="AA10" s="96"/>
      <c r="AB10" s="96"/>
      <c r="AC10" s="96"/>
      <c r="AD10" s="96"/>
    </row>
    <row r="11" ht="22.5" customHeight="1">
      <c r="A11" s="102"/>
      <c r="B11" s="103" t="s">
        <v>154</v>
      </c>
      <c r="C11" s="104"/>
      <c r="D11" s="105"/>
      <c r="E11" s="106">
        <f>min(E12:E22)</f>
        <v>45992</v>
      </c>
      <c r="F11" s="106">
        <f>max(F12:F22)</f>
        <v>46054</v>
      </c>
      <c r="G11" s="107">
        <f t="shared" ref="G11:G36" si="1">IF(E11=0,0,F11-E11+1)</f>
        <v>63</v>
      </c>
      <c r="H11" s="108" t="s">
        <v>155</v>
      </c>
      <c r="I11" s="109" t="s">
        <v>156</v>
      </c>
      <c r="J11" s="110"/>
      <c r="K11" s="111"/>
      <c r="L11" s="96"/>
      <c r="M11" s="96"/>
      <c r="N11" s="96"/>
      <c r="O11" s="96"/>
      <c r="P11" s="96"/>
      <c r="Q11" s="96"/>
      <c r="R11" s="96"/>
      <c r="S11" s="96"/>
      <c r="T11" s="96"/>
      <c r="U11" s="96"/>
      <c r="V11" s="96"/>
      <c r="W11" s="96"/>
      <c r="X11" s="96"/>
      <c r="Y11" s="96"/>
      <c r="Z11" s="96"/>
      <c r="AA11" s="96"/>
      <c r="AB11" s="96"/>
      <c r="AC11" s="96"/>
      <c r="AD11" s="96"/>
    </row>
    <row r="12" ht="22.5" customHeight="1">
      <c r="A12" s="102"/>
      <c r="B12" s="112" t="s">
        <v>157</v>
      </c>
      <c r="C12" s="113" t="s">
        <v>158</v>
      </c>
      <c r="D12" s="113" t="s">
        <v>159</v>
      </c>
      <c r="E12" s="114">
        <v>45992.0</v>
      </c>
      <c r="F12" s="114">
        <v>45999.0</v>
      </c>
      <c r="G12" s="107">
        <f t="shared" si="1"/>
        <v>8</v>
      </c>
      <c r="H12" s="115" t="s">
        <v>155</v>
      </c>
      <c r="I12" s="116" t="s">
        <v>160</v>
      </c>
      <c r="J12" s="110"/>
      <c r="K12" s="111"/>
      <c r="L12" s="96"/>
      <c r="M12" s="96"/>
      <c r="N12" s="96"/>
      <c r="O12" s="96"/>
      <c r="P12" s="96"/>
      <c r="Q12" s="96"/>
      <c r="R12" s="96"/>
      <c r="S12" s="96"/>
      <c r="T12" s="96"/>
      <c r="U12" s="96"/>
      <c r="V12" s="96"/>
      <c r="W12" s="96"/>
      <c r="X12" s="96"/>
      <c r="Y12" s="96"/>
      <c r="Z12" s="96"/>
      <c r="AA12" s="96"/>
      <c r="AB12" s="96"/>
      <c r="AC12" s="96"/>
      <c r="AD12" s="96"/>
    </row>
    <row r="13" ht="22.5" customHeight="1">
      <c r="A13" s="102"/>
      <c r="B13" s="112" t="s">
        <v>161</v>
      </c>
      <c r="C13" s="113" t="s">
        <v>162</v>
      </c>
      <c r="D13" s="113" t="s">
        <v>163</v>
      </c>
      <c r="E13" s="114">
        <v>45992.0</v>
      </c>
      <c r="F13" s="114">
        <v>45999.0</v>
      </c>
      <c r="G13" s="107">
        <f t="shared" si="1"/>
        <v>8</v>
      </c>
      <c r="H13" s="115" t="s">
        <v>155</v>
      </c>
      <c r="I13" s="116" t="s">
        <v>156</v>
      </c>
      <c r="J13" s="110"/>
      <c r="K13" s="111"/>
      <c r="L13" s="96"/>
      <c r="M13" s="96"/>
      <c r="N13" s="96"/>
      <c r="O13" s="96"/>
      <c r="P13" s="96"/>
      <c r="Q13" s="96"/>
      <c r="R13" s="96"/>
      <c r="S13" s="96"/>
      <c r="T13" s="96"/>
      <c r="U13" s="96"/>
      <c r="V13" s="96"/>
      <c r="W13" s="96"/>
      <c r="X13" s="96"/>
      <c r="Y13" s="96"/>
      <c r="Z13" s="96"/>
      <c r="AA13" s="96"/>
      <c r="AB13" s="96"/>
      <c r="AC13" s="96"/>
      <c r="AD13" s="96"/>
    </row>
    <row r="14" ht="22.5" customHeight="1">
      <c r="A14" s="102"/>
      <c r="B14" s="112" t="s">
        <v>164</v>
      </c>
      <c r="C14" s="113" t="s">
        <v>158</v>
      </c>
      <c r="D14" s="113" t="s">
        <v>165</v>
      </c>
      <c r="E14" s="114">
        <v>45992.0</v>
      </c>
      <c r="F14" s="114">
        <v>45999.0</v>
      </c>
      <c r="G14" s="107">
        <f t="shared" si="1"/>
        <v>8</v>
      </c>
      <c r="H14" s="115" t="s">
        <v>155</v>
      </c>
      <c r="I14" s="116" t="s">
        <v>156</v>
      </c>
      <c r="J14" s="110"/>
      <c r="K14" s="111"/>
      <c r="L14" s="96"/>
      <c r="M14" s="96"/>
      <c r="N14" s="96"/>
      <c r="O14" s="96"/>
      <c r="P14" s="96"/>
      <c r="Q14" s="96"/>
      <c r="R14" s="96"/>
      <c r="S14" s="96"/>
      <c r="T14" s="96"/>
      <c r="U14" s="96"/>
      <c r="V14" s="96"/>
      <c r="W14" s="96"/>
      <c r="X14" s="96"/>
      <c r="Y14" s="96"/>
      <c r="Z14" s="96"/>
      <c r="AA14" s="96"/>
      <c r="AB14" s="96"/>
      <c r="AC14" s="96"/>
      <c r="AD14" s="96"/>
    </row>
    <row r="15" ht="22.5" customHeight="1">
      <c r="A15" s="102"/>
      <c r="B15" s="112" t="s">
        <v>166</v>
      </c>
      <c r="C15" s="113" t="s">
        <v>167</v>
      </c>
      <c r="D15" s="113" t="s">
        <v>168</v>
      </c>
      <c r="E15" s="114">
        <v>45992.0</v>
      </c>
      <c r="F15" s="114">
        <v>45999.0</v>
      </c>
      <c r="G15" s="107">
        <f t="shared" si="1"/>
        <v>8</v>
      </c>
      <c r="H15" s="115" t="s">
        <v>155</v>
      </c>
      <c r="I15" s="116" t="s">
        <v>160</v>
      </c>
      <c r="J15" s="110"/>
      <c r="K15" s="111"/>
      <c r="L15" s="96"/>
      <c r="M15" s="96"/>
      <c r="N15" s="96"/>
      <c r="O15" s="96"/>
      <c r="P15" s="96"/>
      <c r="Q15" s="96"/>
      <c r="R15" s="96"/>
      <c r="S15" s="96"/>
      <c r="T15" s="96"/>
      <c r="U15" s="96"/>
      <c r="V15" s="96"/>
      <c r="W15" s="96"/>
      <c r="X15" s="96"/>
      <c r="Y15" s="96"/>
      <c r="Z15" s="96"/>
      <c r="AA15" s="96"/>
      <c r="AB15" s="96"/>
      <c r="AC15" s="96"/>
      <c r="AD15" s="96"/>
    </row>
    <row r="16" ht="22.5" customHeight="1">
      <c r="A16" s="102"/>
      <c r="B16" s="117" t="s">
        <v>169</v>
      </c>
      <c r="C16" s="113" t="s">
        <v>170</v>
      </c>
      <c r="D16" s="113" t="s">
        <v>171</v>
      </c>
      <c r="E16" s="114">
        <v>45999.0</v>
      </c>
      <c r="F16" s="114">
        <v>46011.0</v>
      </c>
      <c r="G16" s="107">
        <f t="shared" si="1"/>
        <v>13</v>
      </c>
      <c r="H16" s="115" t="s">
        <v>155</v>
      </c>
      <c r="I16" s="116" t="s">
        <v>156</v>
      </c>
      <c r="J16" s="110"/>
      <c r="K16" s="111"/>
      <c r="L16" s="96"/>
      <c r="M16" s="96"/>
      <c r="N16" s="96"/>
      <c r="O16" s="96"/>
      <c r="P16" s="96"/>
      <c r="Q16" s="96"/>
      <c r="R16" s="96"/>
      <c r="S16" s="96"/>
      <c r="T16" s="96"/>
      <c r="U16" s="96"/>
      <c r="V16" s="96"/>
      <c r="W16" s="96"/>
      <c r="X16" s="96"/>
      <c r="Y16" s="96"/>
      <c r="Z16" s="96"/>
      <c r="AA16" s="96"/>
      <c r="AB16" s="96"/>
      <c r="AC16" s="96"/>
      <c r="AD16" s="96"/>
    </row>
    <row r="17" ht="22.5" customHeight="1">
      <c r="A17" s="102"/>
      <c r="B17" s="112" t="s">
        <v>172</v>
      </c>
      <c r="C17" s="113" t="s">
        <v>173</v>
      </c>
      <c r="D17" s="113" t="s">
        <v>174</v>
      </c>
      <c r="E17" s="114">
        <v>45999.0</v>
      </c>
      <c r="F17" s="114">
        <v>46011.0</v>
      </c>
      <c r="G17" s="107">
        <f t="shared" si="1"/>
        <v>13</v>
      </c>
      <c r="H17" s="115" t="s">
        <v>155</v>
      </c>
      <c r="I17" s="116" t="s">
        <v>160</v>
      </c>
      <c r="J17" s="110"/>
      <c r="K17" s="111"/>
      <c r="L17" s="96"/>
      <c r="M17" s="96"/>
      <c r="N17" s="96"/>
      <c r="O17" s="96"/>
      <c r="P17" s="96"/>
      <c r="Q17" s="96"/>
      <c r="R17" s="96"/>
      <c r="S17" s="96"/>
      <c r="T17" s="96"/>
      <c r="U17" s="96"/>
      <c r="V17" s="96"/>
      <c r="W17" s="96"/>
      <c r="X17" s="96"/>
      <c r="Y17" s="96"/>
      <c r="Z17" s="96"/>
      <c r="AA17" s="96"/>
      <c r="AB17" s="96"/>
      <c r="AC17" s="96"/>
      <c r="AD17" s="96"/>
    </row>
    <row r="18" ht="22.5" customHeight="1">
      <c r="A18" s="102"/>
      <c r="B18" s="112" t="s">
        <v>175</v>
      </c>
      <c r="C18" s="113" t="s">
        <v>176</v>
      </c>
      <c r="D18" s="113" t="s">
        <v>177</v>
      </c>
      <c r="E18" s="114">
        <v>45999.0</v>
      </c>
      <c r="F18" s="114">
        <v>46011.0</v>
      </c>
      <c r="G18" s="107">
        <f t="shared" si="1"/>
        <v>13</v>
      </c>
      <c r="H18" s="115" t="s">
        <v>155</v>
      </c>
      <c r="I18" s="116" t="s">
        <v>156</v>
      </c>
      <c r="J18" s="110"/>
      <c r="K18" s="111"/>
      <c r="L18" s="96"/>
      <c r="M18" s="96"/>
      <c r="N18" s="96"/>
      <c r="O18" s="96"/>
      <c r="P18" s="96"/>
      <c r="Q18" s="96"/>
      <c r="R18" s="96"/>
      <c r="S18" s="96"/>
      <c r="T18" s="96"/>
      <c r="U18" s="96"/>
      <c r="V18" s="96"/>
      <c r="W18" s="96"/>
      <c r="X18" s="96"/>
      <c r="Y18" s="96"/>
      <c r="Z18" s="96"/>
      <c r="AA18" s="96"/>
      <c r="AB18" s="96"/>
      <c r="AC18" s="96"/>
      <c r="AD18" s="96"/>
    </row>
    <row r="19" ht="22.5" customHeight="1">
      <c r="A19" s="102"/>
      <c r="B19" s="112" t="s">
        <v>178</v>
      </c>
      <c r="C19" s="113" t="s">
        <v>158</v>
      </c>
      <c r="D19" s="113" t="s">
        <v>179</v>
      </c>
      <c r="E19" s="114">
        <v>45999.0</v>
      </c>
      <c r="F19" s="114">
        <v>46011.0</v>
      </c>
      <c r="G19" s="107">
        <f t="shared" si="1"/>
        <v>13</v>
      </c>
      <c r="H19" s="115" t="s">
        <v>155</v>
      </c>
      <c r="I19" s="116" t="s">
        <v>156</v>
      </c>
      <c r="J19" s="110"/>
      <c r="K19" s="111"/>
      <c r="L19" s="96"/>
      <c r="M19" s="96"/>
      <c r="N19" s="96"/>
      <c r="O19" s="96"/>
      <c r="P19" s="96"/>
      <c r="Q19" s="96"/>
      <c r="R19" s="96"/>
      <c r="S19" s="96"/>
      <c r="T19" s="96"/>
      <c r="U19" s="96"/>
      <c r="V19" s="96"/>
      <c r="W19" s="96"/>
      <c r="X19" s="96"/>
      <c r="Y19" s="96"/>
      <c r="Z19" s="96"/>
      <c r="AA19" s="96"/>
      <c r="AB19" s="96"/>
      <c r="AC19" s="96"/>
      <c r="AD19" s="96"/>
    </row>
    <row r="20" ht="22.5" customHeight="1">
      <c r="A20" s="102"/>
      <c r="B20" s="112" t="s">
        <v>180</v>
      </c>
      <c r="C20" s="113" t="s">
        <v>170</v>
      </c>
      <c r="D20" s="113" t="s">
        <v>181</v>
      </c>
      <c r="E20" s="114">
        <v>45999.0</v>
      </c>
      <c r="F20" s="114">
        <v>46011.0</v>
      </c>
      <c r="G20" s="107">
        <f t="shared" si="1"/>
        <v>13</v>
      </c>
      <c r="H20" s="115" t="s">
        <v>155</v>
      </c>
      <c r="I20" s="116" t="s">
        <v>160</v>
      </c>
      <c r="J20" s="110"/>
      <c r="K20" s="111"/>
      <c r="L20" s="96"/>
      <c r="M20" s="96"/>
      <c r="N20" s="96"/>
      <c r="O20" s="96"/>
      <c r="P20" s="96"/>
      <c r="Q20" s="96"/>
      <c r="R20" s="96"/>
      <c r="S20" s="96"/>
      <c r="T20" s="96"/>
      <c r="U20" s="96"/>
      <c r="V20" s="96"/>
      <c r="W20" s="96"/>
      <c r="X20" s="96"/>
      <c r="Y20" s="96"/>
      <c r="Z20" s="96"/>
      <c r="AA20" s="96"/>
      <c r="AB20" s="96"/>
      <c r="AC20" s="96"/>
      <c r="AD20" s="96"/>
    </row>
    <row r="21" ht="22.5" customHeight="1">
      <c r="A21" s="102"/>
      <c r="B21" s="112" t="s">
        <v>182</v>
      </c>
      <c r="C21" s="113" t="s">
        <v>170</v>
      </c>
      <c r="D21" s="113" t="s">
        <v>183</v>
      </c>
      <c r="E21" s="114">
        <v>46011.0</v>
      </c>
      <c r="F21" s="114">
        <v>46023.0</v>
      </c>
      <c r="G21" s="107">
        <f t="shared" si="1"/>
        <v>13</v>
      </c>
      <c r="H21" s="115" t="s">
        <v>155</v>
      </c>
      <c r="I21" s="116" t="s">
        <v>156</v>
      </c>
      <c r="J21" s="110"/>
      <c r="K21" s="111"/>
      <c r="L21" s="96"/>
      <c r="M21" s="96"/>
      <c r="N21" s="96"/>
      <c r="O21" s="96"/>
      <c r="P21" s="96"/>
      <c r="Q21" s="96"/>
      <c r="R21" s="96"/>
      <c r="S21" s="96"/>
      <c r="T21" s="96"/>
      <c r="U21" s="96"/>
      <c r="V21" s="96"/>
      <c r="W21" s="96"/>
      <c r="X21" s="96"/>
      <c r="Y21" s="96"/>
      <c r="Z21" s="96"/>
      <c r="AA21" s="96"/>
      <c r="AB21" s="96"/>
      <c r="AC21" s="96"/>
      <c r="AD21" s="96"/>
    </row>
    <row r="22" ht="22.5" customHeight="1">
      <c r="A22" s="102"/>
      <c r="B22" s="112" t="s">
        <v>184</v>
      </c>
      <c r="C22" s="113" t="s">
        <v>185</v>
      </c>
      <c r="D22" s="113" t="s">
        <v>186</v>
      </c>
      <c r="E22" s="114">
        <v>46023.0</v>
      </c>
      <c r="F22" s="118">
        <v>46054.0</v>
      </c>
      <c r="G22" s="107">
        <f t="shared" si="1"/>
        <v>32</v>
      </c>
      <c r="H22" s="115" t="s">
        <v>155</v>
      </c>
      <c r="I22" s="116" t="s">
        <v>156</v>
      </c>
      <c r="J22" s="110"/>
      <c r="K22" s="111"/>
      <c r="L22" s="96"/>
      <c r="M22" s="96"/>
      <c r="N22" s="96"/>
      <c r="O22" s="96"/>
      <c r="P22" s="96"/>
      <c r="Q22" s="96"/>
      <c r="R22" s="96"/>
      <c r="S22" s="96"/>
      <c r="T22" s="96"/>
      <c r="U22" s="96"/>
      <c r="V22" s="96"/>
      <c r="W22" s="96"/>
      <c r="X22" s="96"/>
      <c r="Y22" s="96"/>
      <c r="Z22" s="96"/>
      <c r="AA22" s="96"/>
      <c r="AB22" s="96"/>
      <c r="AC22" s="96"/>
      <c r="AD22" s="96"/>
    </row>
    <row r="23" ht="22.5" customHeight="1">
      <c r="A23" s="102"/>
      <c r="B23" s="103" t="s">
        <v>187</v>
      </c>
      <c r="C23" s="104"/>
      <c r="D23" s="105"/>
      <c r="E23" s="119">
        <f>min(E24:E35)</f>
        <v>46023</v>
      </c>
      <c r="F23" s="119">
        <f>max(F24:F35)</f>
        <v>46059</v>
      </c>
      <c r="G23" s="107">
        <f t="shared" si="1"/>
        <v>37</v>
      </c>
      <c r="H23" s="120" t="s">
        <v>188</v>
      </c>
      <c r="I23" s="120" t="s">
        <v>156</v>
      </c>
      <c r="J23" s="121"/>
      <c r="K23" s="111"/>
      <c r="L23" s="96"/>
      <c r="M23" s="96"/>
      <c r="N23" s="96"/>
      <c r="O23" s="96"/>
      <c r="P23" s="96"/>
      <c r="Q23" s="96"/>
      <c r="R23" s="96"/>
      <c r="S23" s="96"/>
      <c r="T23" s="96"/>
      <c r="U23" s="96"/>
      <c r="V23" s="96"/>
      <c r="W23" s="96"/>
      <c r="X23" s="96"/>
      <c r="Y23" s="96"/>
      <c r="Z23" s="96"/>
      <c r="AA23" s="96"/>
      <c r="AB23" s="96"/>
      <c r="AC23" s="96"/>
      <c r="AD23" s="96"/>
    </row>
    <row r="24" ht="22.5" customHeight="1">
      <c r="A24" s="96"/>
      <c r="B24" s="112" t="s">
        <v>189</v>
      </c>
      <c r="C24" s="113" t="s">
        <v>190</v>
      </c>
      <c r="D24" s="113" t="s">
        <v>191</v>
      </c>
      <c r="E24" s="114">
        <v>46023.0</v>
      </c>
      <c r="F24" s="114">
        <v>46031.0</v>
      </c>
      <c r="G24" s="107">
        <f t="shared" si="1"/>
        <v>9</v>
      </c>
      <c r="H24" s="116" t="s">
        <v>155</v>
      </c>
      <c r="I24" s="116" t="s">
        <v>160</v>
      </c>
      <c r="J24" s="110"/>
      <c r="K24" s="111"/>
      <c r="L24" s="96"/>
      <c r="M24" s="96"/>
      <c r="N24" s="96"/>
      <c r="O24" s="96"/>
      <c r="P24" s="96"/>
      <c r="Q24" s="96"/>
      <c r="R24" s="96"/>
      <c r="S24" s="96"/>
      <c r="T24" s="96"/>
      <c r="U24" s="96"/>
      <c r="V24" s="96"/>
      <c r="W24" s="96"/>
      <c r="X24" s="96"/>
      <c r="Y24" s="96"/>
      <c r="Z24" s="96"/>
      <c r="AA24" s="96"/>
      <c r="AB24" s="96"/>
      <c r="AC24" s="96"/>
      <c r="AD24" s="96"/>
    </row>
    <row r="25" ht="22.5" customHeight="1">
      <c r="A25" s="96"/>
      <c r="B25" s="112" t="s">
        <v>192</v>
      </c>
      <c r="C25" s="113" t="s">
        <v>173</v>
      </c>
      <c r="D25" s="113" t="s">
        <v>193</v>
      </c>
      <c r="E25" s="114">
        <v>46023.0</v>
      </c>
      <c r="F25" s="114">
        <v>46031.0</v>
      </c>
      <c r="G25" s="107">
        <f t="shared" si="1"/>
        <v>9</v>
      </c>
      <c r="H25" s="116" t="s">
        <v>155</v>
      </c>
      <c r="I25" s="116" t="s">
        <v>160</v>
      </c>
      <c r="J25" s="110"/>
      <c r="K25" s="111"/>
      <c r="L25" s="96"/>
      <c r="M25" s="96"/>
      <c r="N25" s="96"/>
      <c r="O25" s="96"/>
      <c r="P25" s="96"/>
      <c r="Q25" s="96"/>
      <c r="R25" s="96"/>
      <c r="S25" s="96"/>
      <c r="T25" s="96"/>
      <c r="U25" s="96"/>
      <c r="V25" s="96"/>
      <c r="W25" s="96"/>
      <c r="X25" s="96"/>
      <c r="Y25" s="96"/>
      <c r="Z25" s="96"/>
      <c r="AA25" s="96"/>
      <c r="AB25" s="96"/>
      <c r="AC25" s="96"/>
      <c r="AD25" s="96"/>
    </row>
    <row r="26" ht="22.5" customHeight="1">
      <c r="A26" s="96"/>
      <c r="B26" s="112" t="s">
        <v>194</v>
      </c>
      <c r="C26" s="113" t="s">
        <v>195</v>
      </c>
      <c r="D26" s="113" t="s">
        <v>196</v>
      </c>
      <c r="E26" s="114">
        <v>46023.0</v>
      </c>
      <c r="F26" s="114">
        <v>46031.0</v>
      </c>
      <c r="G26" s="107">
        <f t="shared" si="1"/>
        <v>9</v>
      </c>
      <c r="H26" s="116" t="s">
        <v>155</v>
      </c>
      <c r="I26" s="116" t="s">
        <v>156</v>
      </c>
      <c r="J26" s="110"/>
      <c r="K26" s="111"/>
      <c r="L26" s="96"/>
      <c r="M26" s="96"/>
      <c r="N26" s="96"/>
      <c r="O26" s="96"/>
      <c r="P26" s="96"/>
      <c r="Q26" s="96"/>
      <c r="R26" s="96"/>
      <c r="S26" s="96"/>
      <c r="T26" s="96"/>
      <c r="U26" s="96"/>
      <c r="V26" s="96"/>
      <c r="W26" s="96"/>
      <c r="X26" s="96"/>
      <c r="Y26" s="96"/>
      <c r="Z26" s="96"/>
      <c r="AA26" s="96"/>
      <c r="AB26" s="96"/>
      <c r="AC26" s="96"/>
      <c r="AD26" s="96"/>
    </row>
    <row r="27" ht="22.5" customHeight="1">
      <c r="A27" s="96"/>
      <c r="B27" s="112" t="s">
        <v>197</v>
      </c>
      <c r="C27" s="113" t="s">
        <v>173</v>
      </c>
      <c r="D27" s="113" t="s">
        <v>198</v>
      </c>
      <c r="E27" s="114">
        <v>46023.0</v>
      </c>
      <c r="F27" s="114">
        <v>46031.0</v>
      </c>
      <c r="G27" s="107">
        <f t="shared" si="1"/>
        <v>9</v>
      </c>
      <c r="H27" s="116" t="s">
        <v>155</v>
      </c>
      <c r="I27" s="116" t="s">
        <v>156</v>
      </c>
      <c r="J27" s="110"/>
      <c r="K27" s="111"/>
      <c r="L27" s="96"/>
      <c r="M27" s="96"/>
      <c r="N27" s="96"/>
      <c r="O27" s="96"/>
      <c r="P27" s="96"/>
      <c r="Q27" s="96"/>
      <c r="R27" s="96"/>
      <c r="S27" s="96"/>
      <c r="T27" s="96"/>
      <c r="U27" s="96"/>
      <c r="V27" s="96"/>
      <c r="W27" s="96"/>
      <c r="X27" s="96"/>
      <c r="Y27" s="96"/>
      <c r="Z27" s="96"/>
      <c r="AA27" s="96"/>
      <c r="AB27" s="96"/>
      <c r="AC27" s="96"/>
      <c r="AD27" s="96"/>
    </row>
    <row r="28" ht="22.5" customHeight="1">
      <c r="A28" s="96"/>
      <c r="B28" s="112" t="s">
        <v>199</v>
      </c>
      <c r="C28" s="113" t="s">
        <v>173</v>
      </c>
      <c r="D28" s="113" t="s">
        <v>200</v>
      </c>
      <c r="E28" s="118">
        <v>46035.0</v>
      </c>
      <c r="F28" s="118">
        <v>46046.0</v>
      </c>
      <c r="G28" s="107">
        <f t="shared" si="1"/>
        <v>12</v>
      </c>
      <c r="H28" s="116" t="s">
        <v>155</v>
      </c>
      <c r="I28" s="116" t="s">
        <v>156</v>
      </c>
      <c r="J28" s="110"/>
      <c r="K28" s="111"/>
      <c r="L28" s="96"/>
      <c r="M28" s="96"/>
      <c r="N28" s="96"/>
      <c r="O28" s="96"/>
      <c r="P28" s="96"/>
      <c r="Q28" s="96"/>
      <c r="R28" s="96"/>
      <c r="S28" s="96"/>
      <c r="T28" s="96"/>
      <c r="U28" s="96"/>
      <c r="V28" s="96"/>
      <c r="W28" s="96"/>
      <c r="X28" s="96"/>
      <c r="Y28" s="96"/>
      <c r="Z28" s="96"/>
      <c r="AA28" s="96"/>
      <c r="AB28" s="96"/>
      <c r="AC28" s="96"/>
      <c r="AD28" s="96"/>
    </row>
    <row r="29" ht="22.5" customHeight="1">
      <c r="A29" s="96"/>
      <c r="B29" s="112" t="s">
        <v>201</v>
      </c>
      <c r="C29" s="113" t="s">
        <v>195</v>
      </c>
      <c r="D29" s="113" t="s">
        <v>202</v>
      </c>
      <c r="E29" s="118">
        <v>46035.0</v>
      </c>
      <c r="F29" s="118">
        <v>46046.0</v>
      </c>
      <c r="G29" s="107">
        <f t="shared" si="1"/>
        <v>12</v>
      </c>
      <c r="H29" s="116" t="s">
        <v>155</v>
      </c>
      <c r="I29" s="116" t="s">
        <v>156</v>
      </c>
      <c r="J29" s="110"/>
      <c r="K29" s="111"/>
      <c r="L29" s="96"/>
      <c r="M29" s="96"/>
      <c r="N29" s="96"/>
      <c r="O29" s="96"/>
      <c r="P29" s="96"/>
      <c r="Q29" s="96"/>
      <c r="R29" s="96"/>
      <c r="S29" s="96"/>
      <c r="T29" s="96"/>
      <c r="U29" s="96"/>
      <c r="V29" s="96"/>
      <c r="W29" s="96"/>
      <c r="X29" s="96"/>
      <c r="Y29" s="96"/>
      <c r="Z29" s="96"/>
      <c r="AA29" s="96"/>
      <c r="AB29" s="96"/>
      <c r="AC29" s="96"/>
      <c r="AD29" s="96"/>
    </row>
    <row r="30" ht="22.5" customHeight="1">
      <c r="A30" s="96"/>
      <c r="B30" s="112" t="s">
        <v>203</v>
      </c>
      <c r="C30" s="113" t="s">
        <v>204</v>
      </c>
      <c r="D30" s="113" t="s">
        <v>205</v>
      </c>
      <c r="E30" s="118">
        <v>46055.0</v>
      </c>
      <c r="F30" s="118">
        <v>46055.0</v>
      </c>
      <c r="G30" s="107">
        <f t="shared" si="1"/>
        <v>1</v>
      </c>
      <c r="H30" s="116" t="s">
        <v>155</v>
      </c>
      <c r="I30" s="116" t="s">
        <v>160</v>
      </c>
      <c r="J30" s="110"/>
      <c r="K30" s="111"/>
      <c r="L30" s="96"/>
      <c r="M30" s="96"/>
      <c r="N30" s="96"/>
      <c r="O30" s="96"/>
      <c r="P30" s="96"/>
      <c r="Q30" s="96"/>
      <c r="R30" s="96"/>
      <c r="S30" s="96"/>
      <c r="T30" s="96"/>
      <c r="U30" s="96"/>
      <c r="V30" s="96"/>
      <c r="W30" s="96"/>
      <c r="X30" s="96"/>
      <c r="Y30" s="96"/>
      <c r="Z30" s="96"/>
      <c r="AA30" s="96"/>
      <c r="AB30" s="96"/>
      <c r="AC30" s="96"/>
      <c r="AD30" s="96"/>
    </row>
    <row r="31" ht="22.5" customHeight="1">
      <c r="A31" s="96"/>
      <c r="B31" s="112" t="s">
        <v>206</v>
      </c>
      <c r="C31" s="113" t="s">
        <v>207</v>
      </c>
      <c r="D31" s="113" t="s">
        <v>208</v>
      </c>
      <c r="E31" s="118">
        <v>46057.0</v>
      </c>
      <c r="F31" s="118">
        <v>46057.0</v>
      </c>
      <c r="G31" s="107">
        <f t="shared" si="1"/>
        <v>1</v>
      </c>
      <c r="H31" s="116" t="s">
        <v>155</v>
      </c>
      <c r="I31" s="116" t="s">
        <v>160</v>
      </c>
      <c r="J31" s="110"/>
      <c r="K31" s="111"/>
      <c r="L31" s="96"/>
      <c r="M31" s="96"/>
      <c r="N31" s="96"/>
      <c r="O31" s="96"/>
      <c r="P31" s="96"/>
      <c r="Q31" s="96"/>
      <c r="R31" s="96"/>
      <c r="S31" s="96"/>
      <c r="T31" s="96"/>
      <c r="U31" s="96"/>
      <c r="V31" s="96"/>
      <c r="W31" s="96"/>
      <c r="X31" s="96"/>
      <c r="Y31" s="96"/>
      <c r="Z31" s="96"/>
      <c r="AA31" s="96"/>
      <c r="AB31" s="96"/>
      <c r="AC31" s="96"/>
      <c r="AD31" s="96"/>
    </row>
    <row r="32" ht="22.5" customHeight="1">
      <c r="A32" s="96"/>
      <c r="B32" s="112" t="s">
        <v>209</v>
      </c>
      <c r="C32" s="113" t="s">
        <v>210</v>
      </c>
      <c r="D32" s="113" t="s">
        <v>211</v>
      </c>
      <c r="E32" s="118">
        <v>46057.0</v>
      </c>
      <c r="F32" s="118">
        <v>46057.0</v>
      </c>
      <c r="G32" s="107">
        <f t="shared" si="1"/>
        <v>1</v>
      </c>
      <c r="H32" s="116" t="s">
        <v>155</v>
      </c>
      <c r="I32" s="116" t="s">
        <v>156</v>
      </c>
      <c r="J32" s="110"/>
      <c r="K32" s="111"/>
      <c r="L32" s="96"/>
      <c r="M32" s="96"/>
      <c r="N32" s="96"/>
      <c r="O32" s="96"/>
      <c r="P32" s="96"/>
      <c r="Q32" s="96"/>
      <c r="R32" s="96"/>
      <c r="S32" s="96"/>
      <c r="T32" s="96"/>
      <c r="U32" s="96"/>
      <c r="V32" s="96"/>
      <c r="W32" s="96"/>
      <c r="X32" s="96"/>
      <c r="Y32" s="96"/>
      <c r="Z32" s="96"/>
      <c r="AA32" s="96"/>
      <c r="AB32" s="96"/>
      <c r="AC32" s="96"/>
      <c r="AD32" s="96"/>
    </row>
    <row r="33" ht="22.5" customHeight="1">
      <c r="A33" s="96"/>
      <c r="B33" s="112" t="s">
        <v>212</v>
      </c>
      <c r="C33" s="113" t="s">
        <v>213</v>
      </c>
      <c r="D33" s="113" t="s">
        <v>214</v>
      </c>
      <c r="E33" s="118">
        <v>46058.0</v>
      </c>
      <c r="F33" s="118">
        <v>46058.0</v>
      </c>
      <c r="G33" s="107">
        <f t="shared" si="1"/>
        <v>1</v>
      </c>
      <c r="H33" s="116" t="s">
        <v>155</v>
      </c>
      <c r="I33" s="116" t="s">
        <v>156</v>
      </c>
      <c r="J33" s="110"/>
      <c r="K33" s="111"/>
      <c r="L33" s="96"/>
      <c r="M33" s="96"/>
      <c r="N33" s="96"/>
      <c r="O33" s="96"/>
      <c r="P33" s="96"/>
      <c r="Q33" s="96"/>
      <c r="R33" s="96"/>
      <c r="S33" s="96"/>
      <c r="T33" s="96"/>
      <c r="U33" s="96"/>
      <c r="V33" s="96"/>
      <c r="W33" s="96"/>
      <c r="X33" s="96"/>
      <c r="Y33" s="96"/>
      <c r="Z33" s="96"/>
      <c r="AA33" s="96"/>
      <c r="AB33" s="96"/>
      <c r="AC33" s="96"/>
      <c r="AD33" s="96"/>
    </row>
    <row r="34" ht="22.5" customHeight="1">
      <c r="A34" s="96"/>
      <c r="B34" s="112" t="s">
        <v>215</v>
      </c>
      <c r="C34" s="113" t="s">
        <v>216</v>
      </c>
      <c r="D34" s="113" t="s">
        <v>217</v>
      </c>
      <c r="E34" s="118">
        <v>46058.0</v>
      </c>
      <c r="F34" s="118">
        <v>46059.0</v>
      </c>
      <c r="G34" s="107">
        <f t="shared" si="1"/>
        <v>2</v>
      </c>
      <c r="H34" s="116" t="s">
        <v>155</v>
      </c>
      <c r="I34" s="116" t="s">
        <v>160</v>
      </c>
      <c r="J34" s="110"/>
      <c r="K34" s="111"/>
      <c r="L34" s="96"/>
      <c r="M34" s="96"/>
      <c r="N34" s="96"/>
      <c r="O34" s="96"/>
      <c r="P34" s="96"/>
      <c r="Q34" s="96"/>
      <c r="R34" s="96"/>
      <c r="S34" s="96"/>
      <c r="T34" s="96"/>
      <c r="U34" s="96"/>
      <c r="V34" s="96"/>
      <c r="W34" s="96"/>
      <c r="X34" s="96"/>
      <c r="Y34" s="96"/>
      <c r="Z34" s="96"/>
      <c r="AA34" s="96"/>
      <c r="AB34" s="96"/>
      <c r="AC34" s="96"/>
      <c r="AD34" s="96"/>
    </row>
    <row r="35" ht="22.5" customHeight="1">
      <c r="A35" s="96"/>
      <c r="B35" s="122" t="s">
        <v>218</v>
      </c>
      <c r="C35" s="123" t="s">
        <v>170</v>
      </c>
      <c r="D35" s="123" t="s">
        <v>219</v>
      </c>
      <c r="E35" s="118">
        <v>46048.0</v>
      </c>
      <c r="F35" s="118">
        <v>46059.0</v>
      </c>
      <c r="G35" s="107">
        <f t="shared" si="1"/>
        <v>12</v>
      </c>
      <c r="H35" s="116" t="s">
        <v>155</v>
      </c>
      <c r="I35" s="116" t="s">
        <v>156</v>
      </c>
      <c r="J35" s="110"/>
      <c r="K35" s="111"/>
      <c r="L35" s="96"/>
      <c r="M35" s="96"/>
      <c r="N35" s="96"/>
      <c r="O35" s="96"/>
      <c r="P35" s="96"/>
      <c r="Q35" s="96"/>
      <c r="R35" s="96"/>
      <c r="S35" s="96"/>
      <c r="T35" s="96"/>
      <c r="U35" s="96"/>
      <c r="V35" s="96"/>
      <c r="W35" s="96"/>
      <c r="X35" s="96"/>
      <c r="Y35" s="96"/>
      <c r="Z35" s="96"/>
      <c r="AA35" s="96"/>
      <c r="AB35" s="96"/>
      <c r="AC35" s="96"/>
      <c r="AD35" s="96"/>
    </row>
    <row r="36" ht="22.5" customHeight="1">
      <c r="A36" s="96"/>
      <c r="B36" s="103" t="s">
        <v>220</v>
      </c>
      <c r="C36" s="104"/>
      <c r="D36" s="105"/>
      <c r="E36" s="118">
        <f>Min(E37:E57)</f>
        <v>46059</v>
      </c>
      <c r="F36" s="118">
        <f>max(F37:F57)</f>
        <v>46102</v>
      </c>
      <c r="G36" s="107">
        <f t="shared" si="1"/>
        <v>44</v>
      </c>
      <c r="H36" s="116" t="s">
        <v>188</v>
      </c>
      <c r="I36" s="116" t="s">
        <v>156</v>
      </c>
      <c r="J36" s="110"/>
      <c r="K36" s="111"/>
      <c r="L36" s="96"/>
      <c r="M36" s="96"/>
      <c r="N36" s="96"/>
      <c r="O36" s="96"/>
      <c r="P36" s="96"/>
      <c r="Q36" s="96"/>
      <c r="R36" s="96"/>
      <c r="S36" s="96"/>
      <c r="T36" s="96"/>
      <c r="U36" s="96"/>
      <c r="V36" s="96"/>
      <c r="W36" s="96"/>
      <c r="X36" s="96"/>
      <c r="Y36" s="96"/>
      <c r="Z36" s="96"/>
      <c r="AA36" s="96"/>
      <c r="AB36" s="96"/>
      <c r="AC36" s="96"/>
      <c r="AD36" s="96"/>
    </row>
    <row r="37" ht="22.5" customHeight="1">
      <c r="A37" s="96"/>
      <c r="B37" s="112" t="s">
        <v>221</v>
      </c>
      <c r="C37" s="113" t="s">
        <v>222</v>
      </c>
      <c r="D37" s="113" t="s">
        <v>223</v>
      </c>
      <c r="E37" s="118">
        <v>46059.0</v>
      </c>
      <c r="F37" s="118">
        <v>46060.0</v>
      </c>
      <c r="G37" s="107">
        <v>2.0</v>
      </c>
      <c r="H37" s="116" t="s">
        <v>155</v>
      </c>
      <c r="I37" s="124" t="s">
        <v>156</v>
      </c>
      <c r="J37" s="110" t="s">
        <v>224</v>
      </c>
      <c r="K37" s="111"/>
      <c r="L37" s="96"/>
      <c r="M37" s="96"/>
      <c r="N37" s="96"/>
      <c r="O37" s="96"/>
      <c r="P37" s="96"/>
      <c r="Q37" s="96"/>
      <c r="R37" s="96"/>
      <c r="S37" s="96"/>
      <c r="T37" s="96"/>
      <c r="U37" s="96"/>
      <c r="V37" s="96"/>
      <c r="W37" s="96"/>
      <c r="X37" s="96"/>
      <c r="Y37" s="96"/>
      <c r="Z37" s="96"/>
      <c r="AA37" s="96"/>
      <c r="AB37" s="96"/>
      <c r="AC37" s="96"/>
      <c r="AD37" s="96"/>
    </row>
    <row r="38" ht="22.5" customHeight="1">
      <c r="A38" s="96"/>
      <c r="B38" s="112" t="s">
        <v>225</v>
      </c>
      <c r="C38" s="113" t="s">
        <v>226</v>
      </c>
      <c r="D38" s="113" t="s">
        <v>227</v>
      </c>
      <c r="E38" s="118">
        <v>46059.0</v>
      </c>
      <c r="F38" s="118">
        <v>46062.0</v>
      </c>
      <c r="G38" s="107">
        <v>3.0</v>
      </c>
      <c r="H38" s="116" t="s">
        <v>155</v>
      </c>
      <c r="I38" s="124" t="s">
        <v>156</v>
      </c>
      <c r="J38" s="110" t="s">
        <v>228</v>
      </c>
      <c r="K38" s="111"/>
      <c r="L38" s="96"/>
      <c r="M38" s="96"/>
      <c r="N38" s="96"/>
      <c r="O38" s="96"/>
      <c r="P38" s="96"/>
      <c r="Q38" s="96"/>
      <c r="R38" s="96"/>
      <c r="S38" s="96"/>
      <c r="T38" s="96"/>
      <c r="U38" s="96"/>
      <c r="V38" s="96"/>
      <c r="W38" s="96"/>
      <c r="X38" s="96"/>
      <c r="Y38" s="96"/>
      <c r="Z38" s="96"/>
      <c r="AA38" s="96"/>
      <c r="AB38" s="96"/>
      <c r="AC38" s="96"/>
      <c r="AD38" s="96"/>
    </row>
    <row r="39" ht="22.5" customHeight="1">
      <c r="A39" s="96"/>
      <c r="B39" s="112" t="s">
        <v>229</v>
      </c>
      <c r="C39" s="113" t="s">
        <v>230</v>
      </c>
      <c r="D39" s="113" t="s">
        <v>231</v>
      </c>
      <c r="E39" s="118">
        <v>46059.0</v>
      </c>
      <c r="F39" s="118">
        <v>46062.0</v>
      </c>
      <c r="G39" s="107">
        <v>3.0</v>
      </c>
      <c r="H39" s="116" t="s">
        <v>155</v>
      </c>
      <c r="I39" s="124" t="s">
        <v>160</v>
      </c>
      <c r="J39" s="110" t="s">
        <v>232</v>
      </c>
      <c r="K39" s="111"/>
      <c r="L39" s="96"/>
      <c r="M39" s="96"/>
      <c r="N39" s="96"/>
      <c r="O39" s="96"/>
      <c r="P39" s="96"/>
      <c r="Q39" s="96"/>
      <c r="R39" s="96"/>
      <c r="S39" s="96"/>
      <c r="T39" s="96"/>
      <c r="U39" s="96"/>
      <c r="V39" s="96"/>
      <c r="W39" s="96"/>
      <c r="X39" s="96"/>
      <c r="Y39" s="96"/>
      <c r="Z39" s="96"/>
      <c r="AA39" s="96"/>
      <c r="AB39" s="96"/>
      <c r="AC39" s="96"/>
      <c r="AD39" s="96"/>
    </row>
    <row r="40" ht="22.5" customHeight="1">
      <c r="A40" s="96"/>
      <c r="B40" s="112" t="s">
        <v>233</v>
      </c>
      <c r="C40" s="113" t="s">
        <v>234</v>
      </c>
      <c r="D40" s="113" t="s">
        <v>235</v>
      </c>
      <c r="E40" s="118">
        <v>46063.0</v>
      </c>
      <c r="F40" s="118">
        <v>46065.0</v>
      </c>
      <c r="G40" s="107">
        <v>3.0</v>
      </c>
      <c r="H40" s="116" t="s">
        <v>155</v>
      </c>
      <c r="I40" s="124" t="s">
        <v>156</v>
      </c>
      <c r="J40" s="110" t="s">
        <v>236</v>
      </c>
      <c r="K40" s="111"/>
      <c r="L40" s="96"/>
      <c r="M40" s="96"/>
      <c r="N40" s="96"/>
      <c r="O40" s="96"/>
      <c r="P40" s="96"/>
      <c r="Q40" s="96"/>
      <c r="R40" s="96"/>
      <c r="S40" s="96"/>
      <c r="T40" s="96"/>
      <c r="U40" s="96"/>
      <c r="V40" s="96"/>
      <c r="W40" s="96"/>
      <c r="X40" s="96"/>
      <c r="Y40" s="96"/>
      <c r="Z40" s="96"/>
      <c r="AA40" s="96"/>
      <c r="AB40" s="96"/>
      <c r="AC40" s="96"/>
      <c r="AD40" s="96"/>
    </row>
    <row r="41" ht="22.5" customHeight="1">
      <c r="A41" s="96"/>
      <c r="B41" s="112" t="s">
        <v>237</v>
      </c>
      <c r="C41" s="113" t="s">
        <v>226</v>
      </c>
      <c r="D41" s="113" t="s">
        <v>238</v>
      </c>
      <c r="E41" s="118">
        <v>46063.0</v>
      </c>
      <c r="F41" s="118">
        <v>46065.0</v>
      </c>
      <c r="G41" s="107">
        <v>3.0</v>
      </c>
      <c r="H41" s="116" t="s">
        <v>188</v>
      </c>
      <c r="I41" s="124" t="s">
        <v>156</v>
      </c>
      <c r="J41" s="110" t="s">
        <v>239</v>
      </c>
      <c r="K41" s="111"/>
      <c r="L41" s="96"/>
      <c r="M41" s="96"/>
      <c r="N41" s="96"/>
      <c r="O41" s="96"/>
      <c r="P41" s="96"/>
      <c r="Q41" s="96"/>
      <c r="R41" s="96"/>
      <c r="S41" s="96"/>
      <c r="T41" s="96"/>
      <c r="U41" s="96"/>
      <c r="V41" s="96"/>
      <c r="W41" s="96"/>
      <c r="X41" s="96"/>
      <c r="Y41" s="96"/>
      <c r="Z41" s="96"/>
      <c r="AA41" s="96"/>
      <c r="AB41" s="96"/>
      <c r="AC41" s="96"/>
      <c r="AD41" s="96"/>
    </row>
    <row r="42" ht="22.5" customHeight="1">
      <c r="A42" s="96"/>
      <c r="B42" s="112" t="s">
        <v>240</v>
      </c>
      <c r="C42" s="113" t="s">
        <v>241</v>
      </c>
      <c r="D42" s="113" t="s">
        <v>242</v>
      </c>
      <c r="E42" s="118">
        <v>46066.0</v>
      </c>
      <c r="F42" s="118">
        <v>46067.0</v>
      </c>
      <c r="G42" s="107">
        <v>2.0</v>
      </c>
      <c r="H42" s="116" t="s">
        <v>188</v>
      </c>
      <c r="I42" s="124" t="s">
        <v>156</v>
      </c>
      <c r="J42" s="110" t="s">
        <v>243</v>
      </c>
      <c r="K42" s="111"/>
      <c r="L42" s="96"/>
      <c r="M42" s="96"/>
      <c r="N42" s="96"/>
      <c r="O42" s="96"/>
      <c r="P42" s="96"/>
      <c r="Q42" s="96"/>
      <c r="R42" s="96"/>
      <c r="S42" s="96"/>
      <c r="T42" s="96"/>
      <c r="U42" s="96"/>
      <c r="V42" s="96"/>
      <c r="W42" s="96"/>
      <c r="X42" s="96"/>
      <c r="Y42" s="96"/>
      <c r="Z42" s="96"/>
      <c r="AA42" s="96"/>
      <c r="AB42" s="96"/>
      <c r="AC42" s="96"/>
      <c r="AD42" s="96"/>
    </row>
    <row r="43" ht="22.5" customHeight="1">
      <c r="A43" s="96"/>
      <c r="B43" s="112" t="s">
        <v>244</v>
      </c>
      <c r="C43" s="113" t="s">
        <v>241</v>
      </c>
      <c r="D43" s="113" t="s">
        <v>245</v>
      </c>
      <c r="E43" s="118">
        <v>46070.0</v>
      </c>
      <c r="F43" s="118">
        <v>46071.0</v>
      </c>
      <c r="G43" s="107">
        <v>2.0</v>
      </c>
      <c r="H43" s="116" t="s">
        <v>188</v>
      </c>
      <c r="I43" s="124" t="s">
        <v>156</v>
      </c>
      <c r="J43" s="110" t="s">
        <v>246</v>
      </c>
      <c r="K43" s="111"/>
      <c r="L43" s="96"/>
      <c r="M43" s="96"/>
      <c r="N43" s="96"/>
      <c r="O43" s="96"/>
      <c r="P43" s="96"/>
      <c r="Q43" s="96"/>
      <c r="R43" s="96"/>
      <c r="S43" s="96"/>
      <c r="T43" s="96"/>
      <c r="U43" s="96"/>
      <c r="V43" s="96"/>
      <c r="W43" s="96"/>
      <c r="X43" s="96"/>
      <c r="Y43" s="96"/>
      <c r="Z43" s="96"/>
      <c r="AA43" s="96"/>
      <c r="AB43" s="96"/>
      <c r="AC43" s="96"/>
      <c r="AD43" s="96"/>
    </row>
    <row r="44" ht="22.5" customHeight="1">
      <c r="A44" s="96"/>
      <c r="B44" s="112" t="s">
        <v>247</v>
      </c>
      <c r="C44" s="113" t="s">
        <v>241</v>
      </c>
      <c r="D44" s="113" t="s">
        <v>248</v>
      </c>
      <c r="E44" s="118">
        <v>46070.0</v>
      </c>
      <c r="F44" s="118">
        <v>46074.0</v>
      </c>
      <c r="G44" s="107">
        <v>5.0</v>
      </c>
      <c r="H44" s="116" t="s">
        <v>188</v>
      </c>
      <c r="I44" s="124" t="s">
        <v>156</v>
      </c>
      <c r="J44" s="110" t="s">
        <v>249</v>
      </c>
      <c r="K44" s="111"/>
      <c r="L44" s="96"/>
      <c r="M44" s="96"/>
      <c r="N44" s="96"/>
      <c r="O44" s="96"/>
      <c r="P44" s="96"/>
      <c r="Q44" s="96"/>
      <c r="R44" s="96"/>
      <c r="S44" s="96"/>
      <c r="T44" s="96"/>
      <c r="U44" s="96"/>
      <c r="V44" s="96"/>
      <c r="W44" s="96"/>
      <c r="X44" s="96"/>
      <c r="Y44" s="96"/>
      <c r="Z44" s="96"/>
      <c r="AA44" s="96"/>
      <c r="AB44" s="96"/>
      <c r="AC44" s="96"/>
      <c r="AD44" s="96"/>
    </row>
    <row r="45" ht="22.5" customHeight="1">
      <c r="A45" s="96"/>
      <c r="B45" s="112" t="s">
        <v>250</v>
      </c>
      <c r="C45" s="113" t="s">
        <v>251</v>
      </c>
      <c r="D45" s="113" t="s">
        <v>252</v>
      </c>
      <c r="E45" s="118">
        <v>46073.0</v>
      </c>
      <c r="F45" s="118">
        <v>46077.0</v>
      </c>
      <c r="G45" s="107">
        <v>3.0</v>
      </c>
      <c r="H45" s="116" t="s">
        <v>188</v>
      </c>
      <c r="I45" s="124" t="s">
        <v>156</v>
      </c>
      <c r="J45" s="110" t="s">
        <v>253</v>
      </c>
      <c r="K45" s="111"/>
      <c r="L45" s="96"/>
      <c r="M45" s="96"/>
      <c r="N45" s="96"/>
      <c r="O45" s="96"/>
      <c r="P45" s="96"/>
      <c r="Q45" s="96"/>
      <c r="R45" s="96"/>
      <c r="S45" s="96"/>
      <c r="T45" s="96"/>
      <c r="U45" s="96"/>
      <c r="V45" s="96"/>
      <c r="W45" s="96"/>
      <c r="X45" s="96"/>
      <c r="Y45" s="96"/>
      <c r="Z45" s="96"/>
      <c r="AA45" s="96"/>
      <c r="AB45" s="96"/>
      <c r="AC45" s="96"/>
      <c r="AD45" s="96"/>
    </row>
    <row r="46" ht="22.5" customHeight="1">
      <c r="A46" s="96"/>
      <c r="B46" s="112" t="s">
        <v>254</v>
      </c>
      <c r="C46" s="113" t="s">
        <v>255</v>
      </c>
      <c r="D46" s="113" t="s">
        <v>256</v>
      </c>
      <c r="E46" s="118">
        <v>46077.0</v>
      </c>
      <c r="F46" s="118">
        <v>46079.0</v>
      </c>
      <c r="G46" s="107">
        <v>3.0</v>
      </c>
      <c r="H46" s="116" t="s">
        <v>188</v>
      </c>
      <c r="I46" s="124" t="s">
        <v>160</v>
      </c>
      <c r="J46" s="110" t="s">
        <v>257</v>
      </c>
      <c r="K46" s="111"/>
      <c r="L46" s="96"/>
      <c r="M46" s="96"/>
      <c r="N46" s="96"/>
      <c r="O46" s="96"/>
      <c r="P46" s="96"/>
      <c r="Q46" s="96"/>
      <c r="R46" s="96"/>
      <c r="S46" s="96"/>
      <c r="T46" s="96"/>
      <c r="U46" s="96"/>
      <c r="V46" s="96"/>
      <c r="W46" s="96"/>
      <c r="X46" s="96"/>
      <c r="Y46" s="96"/>
      <c r="Z46" s="96"/>
      <c r="AA46" s="96"/>
      <c r="AB46" s="96"/>
      <c r="AC46" s="96"/>
      <c r="AD46" s="96"/>
    </row>
    <row r="47" ht="22.5" customHeight="1">
      <c r="A47" s="96"/>
      <c r="B47" s="112" t="s">
        <v>258</v>
      </c>
      <c r="C47" s="113" t="s">
        <v>255</v>
      </c>
      <c r="D47" s="113" t="s">
        <v>259</v>
      </c>
      <c r="E47" s="118">
        <v>46077.0</v>
      </c>
      <c r="F47" s="118">
        <v>46081.0</v>
      </c>
      <c r="G47" s="107">
        <v>5.0</v>
      </c>
      <c r="H47" s="116" t="s">
        <v>188</v>
      </c>
      <c r="I47" s="124" t="s">
        <v>156</v>
      </c>
      <c r="J47" s="110" t="s">
        <v>260</v>
      </c>
      <c r="K47" s="111"/>
      <c r="L47" s="96"/>
      <c r="M47" s="96"/>
      <c r="N47" s="96"/>
      <c r="O47" s="96"/>
      <c r="P47" s="96"/>
      <c r="Q47" s="96"/>
      <c r="R47" s="96"/>
      <c r="S47" s="96"/>
      <c r="T47" s="96"/>
      <c r="U47" s="96"/>
      <c r="V47" s="96"/>
      <c r="W47" s="96"/>
      <c r="X47" s="96"/>
      <c r="Y47" s="96"/>
      <c r="Z47" s="96"/>
      <c r="AA47" s="96"/>
      <c r="AB47" s="96"/>
      <c r="AC47" s="96"/>
      <c r="AD47" s="96"/>
    </row>
    <row r="48" ht="22.5" customHeight="1">
      <c r="A48" s="96"/>
      <c r="B48" s="112" t="s">
        <v>261</v>
      </c>
      <c r="C48" s="113" t="s">
        <v>241</v>
      </c>
      <c r="D48" s="113" t="s">
        <v>262</v>
      </c>
      <c r="E48" s="118">
        <v>46084.0</v>
      </c>
      <c r="F48" s="118">
        <v>46086.0</v>
      </c>
      <c r="G48" s="107">
        <v>3.0</v>
      </c>
      <c r="H48" s="116" t="s">
        <v>263</v>
      </c>
      <c r="I48" s="124" t="s">
        <v>156</v>
      </c>
      <c r="J48" s="110" t="s">
        <v>264</v>
      </c>
      <c r="K48" s="111"/>
      <c r="L48" s="96"/>
      <c r="M48" s="96"/>
      <c r="N48" s="96"/>
      <c r="O48" s="96"/>
      <c r="P48" s="96"/>
      <c r="Q48" s="96"/>
      <c r="R48" s="96"/>
      <c r="S48" s="96"/>
      <c r="T48" s="96"/>
      <c r="U48" s="96"/>
      <c r="V48" s="96"/>
      <c r="W48" s="96"/>
      <c r="X48" s="96"/>
      <c r="Y48" s="96"/>
      <c r="Z48" s="96"/>
      <c r="AA48" s="96"/>
      <c r="AB48" s="96"/>
      <c r="AC48" s="96"/>
      <c r="AD48" s="96"/>
    </row>
    <row r="49" ht="22.5" customHeight="1">
      <c r="A49" s="96"/>
      <c r="B49" s="112" t="s">
        <v>265</v>
      </c>
      <c r="C49" s="113" t="s">
        <v>266</v>
      </c>
      <c r="D49" s="113" t="s">
        <v>267</v>
      </c>
      <c r="E49" s="118">
        <v>46084.0</v>
      </c>
      <c r="F49" s="118">
        <v>46088.0</v>
      </c>
      <c r="G49" s="107">
        <v>5.0</v>
      </c>
      <c r="H49" s="116" t="s">
        <v>263</v>
      </c>
      <c r="I49" s="124" t="s">
        <v>160</v>
      </c>
      <c r="J49" s="110" t="s">
        <v>268</v>
      </c>
      <c r="K49" s="111"/>
      <c r="L49" s="96"/>
      <c r="M49" s="96"/>
      <c r="N49" s="96"/>
      <c r="O49" s="96"/>
      <c r="P49" s="96"/>
      <c r="Q49" s="96"/>
      <c r="R49" s="96"/>
      <c r="S49" s="96"/>
      <c r="T49" s="96"/>
      <c r="U49" s="96"/>
      <c r="V49" s="96"/>
      <c r="W49" s="96"/>
      <c r="X49" s="96"/>
      <c r="Y49" s="96"/>
      <c r="Z49" s="96"/>
      <c r="AA49" s="96"/>
      <c r="AB49" s="96"/>
      <c r="AC49" s="96"/>
      <c r="AD49" s="96"/>
    </row>
    <row r="50" ht="22.5" customHeight="1">
      <c r="A50" s="96"/>
      <c r="B50" s="112" t="s">
        <v>269</v>
      </c>
      <c r="C50" s="113" t="s">
        <v>270</v>
      </c>
      <c r="D50" s="113" t="s">
        <v>271</v>
      </c>
      <c r="E50" s="118">
        <v>46087.0</v>
      </c>
      <c r="F50" s="118">
        <v>46091.0</v>
      </c>
      <c r="G50" s="107">
        <v>3.0</v>
      </c>
      <c r="H50" s="116" t="s">
        <v>263</v>
      </c>
      <c r="I50" s="124" t="s">
        <v>156</v>
      </c>
      <c r="J50" s="110" t="s">
        <v>272</v>
      </c>
      <c r="K50" s="111"/>
      <c r="L50" s="96"/>
      <c r="M50" s="96"/>
      <c r="N50" s="96"/>
      <c r="O50" s="96"/>
      <c r="P50" s="96"/>
      <c r="Q50" s="96"/>
      <c r="R50" s="96"/>
      <c r="S50" s="96"/>
      <c r="T50" s="96"/>
      <c r="U50" s="96"/>
      <c r="V50" s="96"/>
      <c r="W50" s="96"/>
      <c r="X50" s="96"/>
      <c r="Y50" s="96"/>
      <c r="Z50" s="96"/>
      <c r="AA50" s="96"/>
      <c r="AB50" s="96"/>
      <c r="AC50" s="96"/>
      <c r="AD50" s="96"/>
    </row>
    <row r="51" ht="22.5" customHeight="1">
      <c r="A51" s="96"/>
      <c r="B51" s="112" t="s">
        <v>273</v>
      </c>
      <c r="C51" s="113" t="s">
        <v>274</v>
      </c>
      <c r="D51" s="113" t="s">
        <v>275</v>
      </c>
      <c r="E51" s="118">
        <v>46092.0</v>
      </c>
      <c r="F51" s="118">
        <v>46094.0</v>
      </c>
      <c r="G51" s="107">
        <v>3.0</v>
      </c>
      <c r="H51" s="116" t="s">
        <v>263</v>
      </c>
      <c r="I51" s="124" t="s">
        <v>156</v>
      </c>
      <c r="J51" s="110" t="s">
        <v>276</v>
      </c>
      <c r="K51" s="111"/>
      <c r="L51" s="96"/>
      <c r="M51" s="96"/>
      <c r="N51" s="96"/>
      <c r="O51" s="96"/>
      <c r="P51" s="96"/>
      <c r="Q51" s="96"/>
      <c r="R51" s="96"/>
      <c r="S51" s="96"/>
      <c r="T51" s="96"/>
      <c r="U51" s="96"/>
      <c r="V51" s="96"/>
      <c r="W51" s="96"/>
      <c r="X51" s="96"/>
      <c r="Y51" s="96"/>
      <c r="Z51" s="96"/>
      <c r="AA51" s="96"/>
      <c r="AB51" s="96"/>
      <c r="AC51" s="96"/>
      <c r="AD51" s="96"/>
    </row>
    <row r="52" ht="22.5" customHeight="1">
      <c r="A52" s="96"/>
      <c r="B52" s="112" t="s">
        <v>277</v>
      </c>
      <c r="C52" s="113" t="s">
        <v>226</v>
      </c>
      <c r="D52" s="113" t="s">
        <v>278</v>
      </c>
      <c r="E52" s="118">
        <v>46095.0</v>
      </c>
      <c r="F52" s="118">
        <v>46098.0</v>
      </c>
      <c r="G52" s="107">
        <v>4.0</v>
      </c>
      <c r="H52" s="116" t="s">
        <v>263</v>
      </c>
      <c r="I52" s="124" t="s">
        <v>156</v>
      </c>
      <c r="J52" s="110" t="s">
        <v>279</v>
      </c>
      <c r="K52" s="111"/>
      <c r="L52" s="96"/>
      <c r="M52" s="96"/>
      <c r="N52" s="96"/>
      <c r="O52" s="96"/>
      <c r="P52" s="96"/>
      <c r="Q52" s="96"/>
      <c r="R52" s="96"/>
      <c r="S52" s="96"/>
      <c r="T52" s="96"/>
      <c r="U52" s="96"/>
      <c r="V52" s="96"/>
      <c r="W52" s="96"/>
      <c r="X52" s="96"/>
      <c r="Y52" s="96"/>
      <c r="Z52" s="96"/>
      <c r="AA52" s="96"/>
      <c r="AB52" s="96"/>
      <c r="AC52" s="96"/>
      <c r="AD52" s="96"/>
    </row>
    <row r="53" ht="22.5" customHeight="1">
      <c r="A53" s="96"/>
      <c r="B53" s="112" t="s">
        <v>280</v>
      </c>
      <c r="C53" s="113" t="s">
        <v>255</v>
      </c>
      <c r="D53" s="113" t="s">
        <v>281</v>
      </c>
      <c r="E53" s="118">
        <v>46099.0</v>
      </c>
      <c r="F53" s="118">
        <v>46100.0</v>
      </c>
      <c r="G53" s="107">
        <v>2.0</v>
      </c>
      <c r="H53" s="116" t="s">
        <v>263</v>
      </c>
      <c r="I53" s="124" t="s">
        <v>160</v>
      </c>
      <c r="J53" s="110" t="s">
        <v>282</v>
      </c>
      <c r="K53" s="111"/>
      <c r="L53" s="96"/>
      <c r="M53" s="96"/>
      <c r="N53" s="96"/>
      <c r="O53" s="96"/>
      <c r="P53" s="96"/>
      <c r="Q53" s="96"/>
      <c r="R53" s="96"/>
      <c r="S53" s="96"/>
      <c r="T53" s="96"/>
      <c r="U53" s="96"/>
      <c r="V53" s="96"/>
      <c r="W53" s="96"/>
      <c r="X53" s="96"/>
      <c r="Y53" s="96"/>
      <c r="Z53" s="96"/>
      <c r="AA53" s="96"/>
      <c r="AB53" s="96"/>
      <c r="AC53" s="96"/>
      <c r="AD53" s="96"/>
    </row>
    <row r="54" ht="22.5" customHeight="1">
      <c r="A54" s="96"/>
      <c r="B54" s="112" t="s">
        <v>283</v>
      </c>
      <c r="C54" s="113" t="s">
        <v>241</v>
      </c>
      <c r="D54" s="113" t="s">
        <v>284</v>
      </c>
      <c r="E54" s="118">
        <v>46099.0</v>
      </c>
      <c r="F54" s="118">
        <v>46101.0</v>
      </c>
      <c r="G54" s="107">
        <v>3.0</v>
      </c>
      <c r="H54" s="116" t="s">
        <v>263</v>
      </c>
      <c r="I54" s="124" t="s">
        <v>160</v>
      </c>
      <c r="J54" s="110" t="s">
        <v>285</v>
      </c>
      <c r="K54" s="111"/>
      <c r="L54" s="96"/>
      <c r="M54" s="96"/>
      <c r="N54" s="96"/>
      <c r="O54" s="96"/>
      <c r="P54" s="96"/>
      <c r="Q54" s="96"/>
      <c r="R54" s="96"/>
      <c r="S54" s="96"/>
      <c r="T54" s="96"/>
      <c r="U54" s="96"/>
      <c r="V54" s="96"/>
      <c r="W54" s="96"/>
      <c r="X54" s="96"/>
      <c r="Y54" s="96"/>
      <c r="Z54" s="96"/>
      <c r="AA54" s="96"/>
      <c r="AB54" s="96"/>
      <c r="AC54" s="96"/>
      <c r="AD54" s="96"/>
    </row>
    <row r="55" ht="22.5" customHeight="1">
      <c r="A55" s="96"/>
      <c r="B55" s="112" t="s">
        <v>286</v>
      </c>
      <c r="C55" s="113" t="s">
        <v>287</v>
      </c>
      <c r="D55" s="113" t="s">
        <v>288</v>
      </c>
      <c r="E55" s="118">
        <v>46099.0</v>
      </c>
      <c r="F55" s="118">
        <v>46101.0</v>
      </c>
      <c r="G55" s="107">
        <v>3.0</v>
      </c>
      <c r="H55" s="116" t="s">
        <v>263</v>
      </c>
      <c r="I55" s="124" t="s">
        <v>160</v>
      </c>
      <c r="J55" s="110" t="s">
        <v>289</v>
      </c>
      <c r="K55" s="111"/>
      <c r="L55" s="96"/>
      <c r="M55" s="96"/>
      <c r="N55" s="96"/>
      <c r="O55" s="96"/>
      <c r="P55" s="96"/>
      <c r="Q55" s="96"/>
      <c r="R55" s="96"/>
      <c r="S55" s="96"/>
      <c r="T55" s="96"/>
      <c r="U55" s="96"/>
      <c r="V55" s="96"/>
      <c r="W55" s="96"/>
      <c r="X55" s="96"/>
      <c r="Y55" s="96"/>
      <c r="Z55" s="96"/>
      <c r="AA55" s="96"/>
      <c r="AB55" s="96"/>
      <c r="AC55" s="96"/>
      <c r="AD55" s="96"/>
    </row>
    <row r="56" ht="22.5" customHeight="1">
      <c r="A56" s="96"/>
      <c r="B56" s="112" t="s">
        <v>290</v>
      </c>
      <c r="C56" s="113" t="s">
        <v>291</v>
      </c>
      <c r="D56" s="113" t="s">
        <v>292</v>
      </c>
      <c r="E56" s="118">
        <v>46101.0</v>
      </c>
      <c r="F56" s="118">
        <v>46101.0</v>
      </c>
      <c r="G56" s="107">
        <v>1.0</v>
      </c>
      <c r="H56" s="116" t="s">
        <v>263</v>
      </c>
      <c r="I56" s="124" t="s">
        <v>156</v>
      </c>
      <c r="J56" s="110" t="s">
        <v>293</v>
      </c>
      <c r="K56" s="111"/>
      <c r="L56" s="96"/>
      <c r="M56" s="96"/>
      <c r="N56" s="96"/>
      <c r="O56" s="96"/>
      <c r="P56" s="96"/>
      <c r="Q56" s="96"/>
      <c r="R56" s="96"/>
      <c r="S56" s="96"/>
      <c r="T56" s="96"/>
      <c r="U56" s="96"/>
      <c r="V56" s="96"/>
      <c r="W56" s="96"/>
      <c r="X56" s="96"/>
      <c r="Y56" s="96"/>
      <c r="Z56" s="96"/>
      <c r="AA56" s="96"/>
      <c r="AB56" s="96"/>
      <c r="AC56" s="96"/>
      <c r="AD56" s="96"/>
    </row>
    <row r="57" ht="22.5" customHeight="1">
      <c r="A57" s="96"/>
      <c r="B57" s="112" t="s">
        <v>294</v>
      </c>
      <c r="C57" s="113" t="s">
        <v>291</v>
      </c>
      <c r="D57" s="113" t="s">
        <v>295</v>
      </c>
      <c r="E57" s="118">
        <v>46102.0</v>
      </c>
      <c r="F57" s="118">
        <v>46102.0</v>
      </c>
      <c r="G57" s="107">
        <v>1.0</v>
      </c>
      <c r="H57" s="116" t="s">
        <v>263</v>
      </c>
      <c r="I57" s="124" t="s">
        <v>156</v>
      </c>
      <c r="J57" s="110" t="s">
        <v>296</v>
      </c>
      <c r="K57" s="111"/>
      <c r="L57" s="96"/>
      <c r="M57" s="96"/>
      <c r="N57" s="96"/>
      <c r="O57" s="96"/>
      <c r="P57" s="96"/>
      <c r="Q57" s="96"/>
      <c r="R57" s="96"/>
      <c r="S57" s="96"/>
      <c r="T57" s="96"/>
      <c r="U57" s="96"/>
      <c r="V57" s="96"/>
      <c r="W57" s="96"/>
      <c r="X57" s="96"/>
      <c r="Y57" s="96"/>
      <c r="Z57" s="96"/>
      <c r="AA57" s="96"/>
      <c r="AB57" s="96"/>
      <c r="AC57" s="96"/>
      <c r="AD57" s="96"/>
    </row>
    <row r="58" ht="22.5" customHeight="1">
      <c r="A58" s="96"/>
      <c r="B58" s="103" t="s">
        <v>297</v>
      </c>
      <c r="C58" s="104"/>
      <c r="D58" s="105"/>
      <c r="E58" s="118">
        <f>min(E59:E74)</f>
        <v>46099</v>
      </c>
      <c r="F58" s="118">
        <f>Max(F59:F74)</f>
        <v>46109</v>
      </c>
      <c r="G58" s="107">
        <f>IF(E58=0,0,F58-E58+1)</f>
        <v>11</v>
      </c>
      <c r="H58" s="116" t="s">
        <v>263</v>
      </c>
      <c r="I58" s="116" t="s">
        <v>156</v>
      </c>
      <c r="J58" s="110"/>
      <c r="K58" s="111"/>
      <c r="L58" s="96"/>
      <c r="M58" s="96"/>
      <c r="N58" s="96"/>
      <c r="O58" s="96"/>
      <c r="P58" s="96"/>
      <c r="Q58" s="96"/>
      <c r="R58" s="96"/>
      <c r="S58" s="96"/>
      <c r="T58" s="96"/>
      <c r="U58" s="96"/>
      <c r="V58" s="96"/>
      <c r="W58" s="96"/>
      <c r="X58" s="96"/>
      <c r="Y58" s="96"/>
      <c r="Z58" s="96"/>
      <c r="AA58" s="96"/>
      <c r="AB58" s="96"/>
      <c r="AC58" s="96"/>
      <c r="AD58" s="96"/>
    </row>
    <row r="59" ht="22.5" customHeight="1">
      <c r="A59" s="96"/>
      <c r="B59" s="112" t="s">
        <v>298</v>
      </c>
      <c r="C59" s="113" t="s">
        <v>299</v>
      </c>
      <c r="D59" s="113" t="s">
        <v>300</v>
      </c>
      <c r="E59" s="118">
        <v>46099.0</v>
      </c>
      <c r="F59" s="118">
        <v>46100.0</v>
      </c>
      <c r="G59" s="107">
        <v>2.0</v>
      </c>
      <c r="H59" s="116" t="s">
        <v>263</v>
      </c>
      <c r="I59" s="124" t="s">
        <v>156</v>
      </c>
      <c r="J59" s="110" t="s">
        <v>301</v>
      </c>
      <c r="K59" s="111"/>
      <c r="L59" s="96"/>
      <c r="M59" s="96"/>
      <c r="N59" s="96"/>
      <c r="O59" s="96"/>
      <c r="P59" s="96"/>
      <c r="Q59" s="96"/>
      <c r="R59" s="96"/>
      <c r="S59" s="96"/>
      <c r="T59" s="96"/>
      <c r="U59" s="96"/>
      <c r="V59" s="96"/>
      <c r="W59" s="96"/>
      <c r="X59" s="96"/>
      <c r="Y59" s="96"/>
      <c r="Z59" s="96"/>
      <c r="AA59" s="96"/>
      <c r="AB59" s="96"/>
      <c r="AC59" s="96"/>
      <c r="AD59" s="96"/>
    </row>
    <row r="60" ht="22.5" customHeight="1">
      <c r="A60" s="96"/>
      <c r="B60" s="112" t="s">
        <v>302</v>
      </c>
      <c r="C60" s="113" t="s">
        <v>173</v>
      </c>
      <c r="D60" s="113" t="s">
        <v>303</v>
      </c>
      <c r="E60" s="118">
        <v>46099.0</v>
      </c>
      <c r="F60" s="118">
        <v>46101.0</v>
      </c>
      <c r="G60" s="107">
        <v>3.0</v>
      </c>
      <c r="H60" s="116" t="s">
        <v>263</v>
      </c>
      <c r="I60" s="124" t="s">
        <v>156</v>
      </c>
      <c r="J60" s="110" t="s">
        <v>304</v>
      </c>
      <c r="K60" s="111"/>
      <c r="L60" s="96"/>
      <c r="M60" s="96"/>
      <c r="N60" s="96"/>
      <c r="O60" s="96"/>
      <c r="P60" s="96"/>
      <c r="Q60" s="96"/>
      <c r="R60" s="96"/>
      <c r="S60" s="96"/>
      <c r="T60" s="96"/>
      <c r="U60" s="96"/>
      <c r="V60" s="96"/>
      <c r="W60" s="96"/>
      <c r="X60" s="96"/>
      <c r="Y60" s="96"/>
      <c r="Z60" s="96"/>
      <c r="AA60" s="96"/>
      <c r="AB60" s="96"/>
      <c r="AC60" s="96"/>
      <c r="AD60" s="96"/>
    </row>
    <row r="61" ht="22.5" customHeight="1">
      <c r="A61" s="96"/>
      <c r="B61" s="112" t="s">
        <v>305</v>
      </c>
      <c r="C61" s="113" t="s">
        <v>226</v>
      </c>
      <c r="D61" s="113" t="s">
        <v>306</v>
      </c>
      <c r="E61" s="118">
        <v>46101.0</v>
      </c>
      <c r="F61" s="118">
        <v>46105.0</v>
      </c>
      <c r="G61" s="107">
        <v>3.0</v>
      </c>
      <c r="H61" s="116" t="s">
        <v>263</v>
      </c>
      <c r="I61" s="124" t="s">
        <v>156</v>
      </c>
      <c r="J61" s="110" t="s">
        <v>307</v>
      </c>
      <c r="K61" s="111"/>
      <c r="L61" s="96"/>
      <c r="M61" s="96"/>
      <c r="N61" s="96"/>
      <c r="O61" s="96"/>
      <c r="P61" s="96"/>
      <c r="Q61" s="96"/>
      <c r="R61" s="96"/>
      <c r="S61" s="96"/>
      <c r="T61" s="96"/>
      <c r="U61" s="96"/>
      <c r="V61" s="96"/>
      <c r="W61" s="96"/>
      <c r="X61" s="96"/>
      <c r="Y61" s="96"/>
      <c r="Z61" s="96"/>
      <c r="AA61" s="96"/>
      <c r="AB61" s="96"/>
      <c r="AC61" s="96"/>
      <c r="AD61" s="96"/>
    </row>
    <row r="62" ht="22.5" customHeight="1">
      <c r="A62" s="96"/>
      <c r="B62" s="112" t="s">
        <v>308</v>
      </c>
      <c r="C62" s="113" t="s">
        <v>173</v>
      </c>
      <c r="D62" s="113" t="s">
        <v>309</v>
      </c>
      <c r="E62" s="118">
        <v>46102.0</v>
      </c>
      <c r="F62" s="118">
        <v>46105.0</v>
      </c>
      <c r="G62" s="107">
        <v>3.0</v>
      </c>
      <c r="H62" s="116" t="s">
        <v>263</v>
      </c>
      <c r="I62" s="124" t="s">
        <v>156</v>
      </c>
      <c r="J62" s="110" t="s">
        <v>310</v>
      </c>
      <c r="K62" s="111"/>
      <c r="L62" s="96"/>
      <c r="M62" s="96"/>
      <c r="N62" s="96"/>
      <c r="O62" s="96"/>
      <c r="P62" s="96"/>
      <c r="Q62" s="96"/>
      <c r="R62" s="96"/>
      <c r="S62" s="96"/>
      <c r="T62" s="96"/>
      <c r="U62" s="96"/>
      <c r="V62" s="96"/>
      <c r="W62" s="96"/>
      <c r="X62" s="96"/>
      <c r="Y62" s="96"/>
      <c r="Z62" s="96"/>
      <c r="AA62" s="96"/>
      <c r="AB62" s="96"/>
      <c r="AC62" s="96"/>
      <c r="AD62" s="96"/>
    </row>
    <row r="63" ht="22.5" customHeight="1">
      <c r="A63" s="96"/>
      <c r="B63" s="112" t="s">
        <v>311</v>
      </c>
      <c r="C63" s="113" t="s">
        <v>173</v>
      </c>
      <c r="D63" s="113" t="s">
        <v>312</v>
      </c>
      <c r="E63" s="118">
        <v>46102.0</v>
      </c>
      <c r="F63" s="118">
        <v>46105.0</v>
      </c>
      <c r="G63" s="107">
        <v>3.0</v>
      </c>
      <c r="H63" s="116" t="s">
        <v>263</v>
      </c>
      <c r="I63" s="124" t="s">
        <v>156</v>
      </c>
      <c r="J63" s="110" t="s">
        <v>313</v>
      </c>
      <c r="K63" s="111"/>
      <c r="L63" s="96"/>
      <c r="M63" s="96"/>
      <c r="N63" s="96"/>
      <c r="O63" s="96"/>
      <c r="P63" s="96"/>
      <c r="Q63" s="96"/>
      <c r="R63" s="96"/>
      <c r="S63" s="96"/>
      <c r="T63" s="96"/>
      <c r="U63" s="96"/>
      <c r="V63" s="96"/>
      <c r="W63" s="96"/>
      <c r="X63" s="96"/>
      <c r="Y63" s="96"/>
      <c r="Z63" s="96"/>
      <c r="AA63" s="96"/>
      <c r="AB63" s="96"/>
      <c r="AC63" s="96"/>
      <c r="AD63" s="96"/>
    </row>
    <row r="64" ht="22.5" customHeight="1">
      <c r="A64" s="96"/>
      <c r="B64" s="112" t="s">
        <v>314</v>
      </c>
      <c r="C64" s="113" t="s">
        <v>173</v>
      </c>
      <c r="D64" s="113" t="s">
        <v>315</v>
      </c>
      <c r="E64" s="118">
        <v>46102.0</v>
      </c>
      <c r="F64" s="118">
        <v>46105.0</v>
      </c>
      <c r="G64" s="107">
        <v>3.0</v>
      </c>
      <c r="H64" s="116" t="s">
        <v>263</v>
      </c>
      <c r="I64" s="124" t="s">
        <v>160</v>
      </c>
      <c r="J64" s="110" t="s">
        <v>316</v>
      </c>
      <c r="K64" s="111"/>
      <c r="L64" s="96"/>
      <c r="M64" s="96"/>
      <c r="N64" s="96"/>
      <c r="O64" s="96"/>
      <c r="P64" s="96"/>
      <c r="Q64" s="96"/>
      <c r="R64" s="96"/>
      <c r="S64" s="96"/>
      <c r="T64" s="96"/>
      <c r="U64" s="96"/>
      <c r="V64" s="96"/>
      <c r="W64" s="96"/>
      <c r="X64" s="96"/>
      <c r="Y64" s="96"/>
      <c r="Z64" s="96"/>
      <c r="AA64" s="96"/>
      <c r="AB64" s="96"/>
      <c r="AC64" s="96"/>
      <c r="AD64" s="96"/>
    </row>
    <row r="65" ht="22.5" customHeight="1">
      <c r="A65" s="96"/>
      <c r="B65" s="112" t="s">
        <v>317</v>
      </c>
      <c r="C65" s="113" t="s">
        <v>274</v>
      </c>
      <c r="D65" s="113" t="s">
        <v>318</v>
      </c>
      <c r="E65" s="118">
        <v>46105.0</v>
      </c>
      <c r="F65" s="118">
        <v>46107.0</v>
      </c>
      <c r="G65" s="107">
        <v>3.0</v>
      </c>
      <c r="H65" s="116" t="s">
        <v>263</v>
      </c>
      <c r="I65" s="124" t="s">
        <v>156</v>
      </c>
      <c r="J65" s="110" t="s">
        <v>319</v>
      </c>
      <c r="K65" s="111"/>
      <c r="L65" s="96"/>
      <c r="M65" s="96"/>
      <c r="N65" s="96"/>
      <c r="O65" s="96"/>
      <c r="P65" s="96"/>
      <c r="Q65" s="96"/>
      <c r="R65" s="96"/>
      <c r="S65" s="96"/>
      <c r="T65" s="96"/>
      <c r="U65" s="96"/>
      <c r="V65" s="96"/>
      <c r="W65" s="96"/>
      <c r="X65" s="96"/>
      <c r="Y65" s="96"/>
      <c r="Z65" s="96"/>
      <c r="AA65" s="96"/>
      <c r="AB65" s="96"/>
      <c r="AC65" s="96"/>
      <c r="AD65" s="96"/>
    </row>
    <row r="66" ht="22.5" customHeight="1">
      <c r="A66" s="96"/>
      <c r="B66" s="112" t="s">
        <v>320</v>
      </c>
      <c r="C66" s="113" t="s">
        <v>226</v>
      </c>
      <c r="D66" s="113" t="s">
        <v>321</v>
      </c>
      <c r="E66" s="118">
        <v>46105.0</v>
      </c>
      <c r="F66" s="118">
        <v>46107.0</v>
      </c>
      <c r="G66" s="107">
        <v>3.0</v>
      </c>
      <c r="H66" s="116" t="s">
        <v>263</v>
      </c>
      <c r="I66" s="124" t="s">
        <v>156</v>
      </c>
      <c r="J66" s="110" t="s">
        <v>322</v>
      </c>
      <c r="K66" s="111"/>
      <c r="L66" s="96"/>
      <c r="M66" s="96"/>
      <c r="N66" s="96"/>
      <c r="O66" s="96"/>
      <c r="P66" s="96"/>
      <c r="Q66" s="96"/>
      <c r="R66" s="96"/>
      <c r="S66" s="96"/>
      <c r="T66" s="96"/>
      <c r="U66" s="96"/>
      <c r="V66" s="96"/>
      <c r="W66" s="96"/>
      <c r="X66" s="96"/>
      <c r="Y66" s="96"/>
      <c r="Z66" s="96"/>
      <c r="AA66" s="96"/>
      <c r="AB66" s="96"/>
      <c r="AC66" s="96"/>
      <c r="AD66" s="96"/>
    </row>
    <row r="67" ht="22.5" customHeight="1">
      <c r="A67" s="96"/>
      <c r="B67" s="112" t="s">
        <v>323</v>
      </c>
      <c r="C67" s="113" t="s">
        <v>173</v>
      </c>
      <c r="D67" s="113" t="s">
        <v>324</v>
      </c>
      <c r="E67" s="118">
        <v>46106.0</v>
      </c>
      <c r="F67" s="118">
        <v>46108.0</v>
      </c>
      <c r="G67" s="107">
        <v>3.0</v>
      </c>
      <c r="H67" s="116" t="s">
        <v>263</v>
      </c>
      <c r="I67" s="124" t="s">
        <v>160</v>
      </c>
      <c r="J67" s="110" t="s">
        <v>325</v>
      </c>
      <c r="K67" s="111"/>
      <c r="L67" s="96"/>
      <c r="M67" s="96"/>
      <c r="N67" s="96"/>
      <c r="O67" s="96"/>
      <c r="P67" s="96"/>
      <c r="Q67" s="96"/>
      <c r="R67" s="96"/>
      <c r="S67" s="96"/>
      <c r="T67" s="96"/>
      <c r="U67" s="96"/>
      <c r="V67" s="96"/>
      <c r="W67" s="96"/>
      <c r="X67" s="96"/>
      <c r="Y67" s="96"/>
      <c r="Z67" s="96"/>
      <c r="AA67" s="96"/>
      <c r="AB67" s="96"/>
      <c r="AC67" s="96"/>
      <c r="AD67" s="96"/>
    </row>
    <row r="68" ht="22.5" customHeight="1">
      <c r="A68" s="96"/>
      <c r="B68" s="112" t="s">
        <v>326</v>
      </c>
      <c r="C68" s="113" t="s">
        <v>291</v>
      </c>
      <c r="D68" s="113" t="s">
        <v>327</v>
      </c>
      <c r="E68" s="118">
        <v>46106.0</v>
      </c>
      <c r="F68" s="118">
        <v>46108.0</v>
      </c>
      <c r="G68" s="107">
        <v>3.0</v>
      </c>
      <c r="H68" s="116" t="s">
        <v>263</v>
      </c>
      <c r="I68" s="124" t="s">
        <v>160</v>
      </c>
      <c r="J68" s="110" t="s">
        <v>328</v>
      </c>
      <c r="K68" s="111"/>
      <c r="L68" s="96"/>
      <c r="M68" s="96"/>
      <c r="N68" s="96"/>
      <c r="O68" s="96"/>
      <c r="P68" s="96"/>
      <c r="Q68" s="96"/>
      <c r="R68" s="96"/>
      <c r="S68" s="96"/>
      <c r="T68" s="96"/>
      <c r="U68" s="96"/>
      <c r="V68" s="96"/>
      <c r="W68" s="96"/>
      <c r="X68" s="96"/>
      <c r="Y68" s="96"/>
      <c r="Z68" s="96"/>
      <c r="AA68" s="96"/>
      <c r="AB68" s="96"/>
      <c r="AC68" s="96"/>
      <c r="AD68" s="96"/>
    </row>
    <row r="69" ht="22.5" customHeight="1">
      <c r="A69" s="96"/>
      <c r="B69" s="112" t="s">
        <v>329</v>
      </c>
      <c r="C69" s="113" t="s">
        <v>241</v>
      </c>
      <c r="D69" s="113" t="s">
        <v>330</v>
      </c>
      <c r="E69" s="118">
        <v>46107.0</v>
      </c>
      <c r="F69" s="118">
        <v>46108.0</v>
      </c>
      <c r="G69" s="107">
        <v>2.0</v>
      </c>
      <c r="H69" s="116" t="s">
        <v>263</v>
      </c>
      <c r="I69" s="124" t="s">
        <v>156</v>
      </c>
      <c r="J69" s="110" t="s">
        <v>331</v>
      </c>
      <c r="K69" s="111"/>
      <c r="L69" s="96"/>
      <c r="M69" s="96"/>
      <c r="N69" s="96"/>
      <c r="O69" s="96"/>
      <c r="P69" s="96"/>
      <c r="Q69" s="96"/>
      <c r="R69" s="96"/>
      <c r="S69" s="96"/>
      <c r="T69" s="96"/>
      <c r="U69" s="96"/>
      <c r="V69" s="96"/>
      <c r="W69" s="96"/>
      <c r="X69" s="96"/>
      <c r="Y69" s="96"/>
      <c r="Z69" s="96"/>
      <c r="AA69" s="96"/>
      <c r="AB69" s="96"/>
      <c r="AC69" s="96"/>
      <c r="AD69" s="96"/>
    </row>
    <row r="70" ht="22.5" customHeight="1">
      <c r="A70" s="96"/>
      <c r="B70" s="112" t="s">
        <v>332</v>
      </c>
      <c r="C70" s="113" t="s">
        <v>234</v>
      </c>
      <c r="D70" s="113" t="s">
        <v>333</v>
      </c>
      <c r="E70" s="118">
        <v>46108.0</v>
      </c>
      <c r="F70" s="118">
        <v>46108.0</v>
      </c>
      <c r="G70" s="107">
        <v>1.0</v>
      </c>
      <c r="H70" s="116" t="s">
        <v>263</v>
      </c>
      <c r="I70" s="124" t="s">
        <v>160</v>
      </c>
      <c r="J70" s="110" t="s">
        <v>334</v>
      </c>
      <c r="K70" s="111"/>
      <c r="L70" s="96"/>
      <c r="M70" s="96"/>
      <c r="N70" s="96"/>
      <c r="O70" s="96"/>
      <c r="P70" s="96"/>
      <c r="Q70" s="96"/>
      <c r="R70" s="96"/>
      <c r="S70" s="96"/>
      <c r="T70" s="96"/>
      <c r="U70" s="96"/>
      <c r="V70" s="96"/>
      <c r="W70" s="96"/>
      <c r="X70" s="96"/>
      <c r="Y70" s="96"/>
      <c r="Z70" s="96"/>
      <c r="AA70" s="96"/>
      <c r="AB70" s="96"/>
      <c r="AC70" s="96"/>
      <c r="AD70" s="96"/>
    </row>
    <row r="71" ht="22.5" customHeight="1">
      <c r="A71" s="96"/>
      <c r="B71" s="112" t="s">
        <v>335</v>
      </c>
      <c r="C71" s="113" t="s">
        <v>255</v>
      </c>
      <c r="D71" s="113" t="s">
        <v>281</v>
      </c>
      <c r="E71" s="118">
        <v>46108.0</v>
      </c>
      <c r="F71" s="118">
        <v>46109.0</v>
      </c>
      <c r="G71" s="107">
        <v>2.0</v>
      </c>
      <c r="H71" s="116" t="s">
        <v>263</v>
      </c>
      <c r="I71" s="124" t="s">
        <v>160</v>
      </c>
      <c r="J71" s="110" t="s">
        <v>336</v>
      </c>
      <c r="K71" s="111"/>
      <c r="L71" s="96"/>
      <c r="M71" s="96"/>
      <c r="N71" s="96"/>
      <c r="O71" s="96"/>
      <c r="P71" s="96"/>
      <c r="Q71" s="96"/>
      <c r="R71" s="96"/>
      <c r="S71" s="96"/>
      <c r="T71" s="96"/>
      <c r="U71" s="96"/>
      <c r="V71" s="96"/>
      <c r="W71" s="96"/>
      <c r="X71" s="96"/>
      <c r="Y71" s="96"/>
      <c r="Z71" s="96"/>
      <c r="AA71" s="96"/>
      <c r="AB71" s="96"/>
      <c r="AC71" s="96"/>
      <c r="AD71" s="96"/>
    </row>
    <row r="72" ht="22.5" customHeight="1">
      <c r="A72" s="96"/>
      <c r="B72" s="112" t="s">
        <v>337</v>
      </c>
      <c r="C72" s="113" t="s">
        <v>170</v>
      </c>
      <c r="D72" s="113" t="s">
        <v>338</v>
      </c>
      <c r="E72" s="118">
        <v>46108.0</v>
      </c>
      <c r="F72" s="118">
        <v>46109.0</v>
      </c>
      <c r="G72" s="107">
        <v>2.0</v>
      </c>
      <c r="H72" s="116" t="s">
        <v>263</v>
      </c>
      <c r="I72" s="124" t="s">
        <v>156</v>
      </c>
      <c r="J72" s="110" t="s">
        <v>339</v>
      </c>
      <c r="K72" s="111"/>
      <c r="L72" s="96"/>
      <c r="M72" s="96"/>
      <c r="N72" s="96"/>
      <c r="O72" s="96"/>
      <c r="P72" s="96"/>
      <c r="Q72" s="96"/>
      <c r="R72" s="96"/>
      <c r="S72" s="96"/>
      <c r="T72" s="96"/>
      <c r="U72" s="96"/>
      <c r="V72" s="96"/>
      <c r="W72" s="96"/>
      <c r="X72" s="96"/>
      <c r="Y72" s="96"/>
      <c r="Z72" s="96"/>
      <c r="AA72" s="96"/>
      <c r="AB72" s="96"/>
      <c r="AC72" s="96"/>
      <c r="AD72" s="96"/>
    </row>
    <row r="73" ht="22.5" customHeight="1">
      <c r="A73" s="96"/>
      <c r="B73" s="112" t="s">
        <v>340</v>
      </c>
      <c r="C73" s="113" t="s">
        <v>173</v>
      </c>
      <c r="D73" s="113" t="s">
        <v>341</v>
      </c>
      <c r="E73" s="118">
        <v>46109.0</v>
      </c>
      <c r="F73" s="118">
        <v>46109.0</v>
      </c>
      <c r="G73" s="107">
        <v>1.0</v>
      </c>
      <c r="H73" s="116" t="s">
        <v>263</v>
      </c>
      <c r="I73" s="124" t="s">
        <v>156</v>
      </c>
      <c r="J73" s="110" t="s">
        <v>342</v>
      </c>
      <c r="K73" s="111"/>
      <c r="L73" s="96"/>
      <c r="M73" s="96"/>
      <c r="N73" s="96"/>
      <c r="O73" s="96"/>
      <c r="P73" s="96"/>
      <c r="Q73" s="96"/>
      <c r="R73" s="96"/>
      <c r="S73" s="96"/>
      <c r="T73" s="96"/>
      <c r="U73" s="96"/>
      <c r="V73" s="96"/>
      <c r="W73" s="96"/>
      <c r="X73" s="96"/>
      <c r="Y73" s="96"/>
      <c r="Z73" s="96"/>
      <c r="AA73" s="96"/>
      <c r="AB73" s="96"/>
      <c r="AC73" s="96"/>
      <c r="AD73" s="96"/>
    </row>
    <row r="74" ht="22.5" customHeight="1">
      <c r="A74" s="96"/>
      <c r="B74" s="112" t="s">
        <v>343</v>
      </c>
      <c r="C74" s="113" t="s">
        <v>344</v>
      </c>
      <c r="D74" s="113" t="s">
        <v>292</v>
      </c>
      <c r="E74" s="118">
        <v>46109.0</v>
      </c>
      <c r="F74" s="118">
        <v>46109.0</v>
      </c>
      <c r="G74" s="107">
        <v>1.0</v>
      </c>
      <c r="H74" s="116" t="s">
        <v>263</v>
      </c>
      <c r="I74" s="124" t="s">
        <v>156</v>
      </c>
      <c r="J74" s="110" t="s">
        <v>345</v>
      </c>
      <c r="K74" s="111"/>
      <c r="L74" s="96"/>
      <c r="M74" s="96"/>
      <c r="N74" s="96"/>
      <c r="O74" s="96"/>
      <c r="P74" s="96"/>
      <c r="Q74" s="96"/>
      <c r="R74" s="96"/>
      <c r="S74" s="96"/>
      <c r="T74" s="96"/>
      <c r="U74" s="96"/>
      <c r="V74" s="96"/>
      <c r="W74" s="96"/>
      <c r="X74" s="96"/>
      <c r="Y74" s="96"/>
      <c r="Z74" s="96"/>
      <c r="AA74" s="96"/>
      <c r="AB74" s="96"/>
      <c r="AC74" s="96"/>
      <c r="AD74" s="96"/>
    </row>
    <row r="75" ht="22.5" customHeight="1">
      <c r="A75" s="96"/>
      <c r="B75" s="103" t="s">
        <v>346</v>
      </c>
      <c r="C75" s="104"/>
      <c r="D75" s="105"/>
      <c r="E75" s="118">
        <f>min(E76:E84)</f>
        <v>46109</v>
      </c>
      <c r="F75" s="118">
        <f>max(F76:F84)</f>
        <v>46112</v>
      </c>
      <c r="G75" s="107">
        <f>IF(E75=0,0,F75-E75+1)</f>
        <v>4</v>
      </c>
      <c r="H75" s="116" t="s">
        <v>263</v>
      </c>
      <c r="I75" s="116" t="s">
        <v>156</v>
      </c>
      <c r="J75" s="110"/>
      <c r="K75" s="111"/>
      <c r="L75" s="96"/>
      <c r="M75" s="96"/>
      <c r="N75" s="96"/>
      <c r="O75" s="96"/>
      <c r="P75" s="96"/>
      <c r="Q75" s="96"/>
      <c r="R75" s="96"/>
      <c r="S75" s="96"/>
      <c r="T75" s="96"/>
      <c r="U75" s="96"/>
      <c r="V75" s="96"/>
      <c r="W75" s="96"/>
      <c r="X75" s="96"/>
      <c r="Y75" s="96"/>
      <c r="Z75" s="96"/>
      <c r="AA75" s="96"/>
      <c r="AB75" s="96"/>
      <c r="AC75" s="96"/>
      <c r="AD75" s="96"/>
    </row>
    <row r="76" ht="22.5" customHeight="1">
      <c r="A76" s="96"/>
      <c r="B76" s="112" t="s">
        <v>347</v>
      </c>
      <c r="C76" s="113" t="s">
        <v>348</v>
      </c>
      <c r="D76" s="113" t="s">
        <v>349</v>
      </c>
      <c r="E76" s="118">
        <v>46109.0</v>
      </c>
      <c r="F76" s="118">
        <v>46110.0</v>
      </c>
      <c r="G76" s="107">
        <v>2.0</v>
      </c>
      <c r="H76" s="116" t="s">
        <v>263</v>
      </c>
      <c r="I76" s="124" t="s">
        <v>156</v>
      </c>
      <c r="J76" s="110" t="s">
        <v>350</v>
      </c>
      <c r="K76" s="111"/>
      <c r="L76" s="96"/>
      <c r="M76" s="96"/>
      <c r="N76" s="96"/>
      <c r="O76" s="96"/>
      <c r="P76" s="96"/>
      <c r="Q76" s="96"/>
      <c r="R76" s="96"/>
      <c r="S76" s="96"/>
      <c r="T76" s="96"/>
      <c r="U76" s="96"/>
      <c r="V76" s="96"/>
      <c r="W76" s="96"/>
      <c r="X76" s="96"/>
      <c r="Y76" s="96"/>
      <c r="Z76" s="96"/>
      <c r="AA76" s="96"/>
      <c r="AB76" s="96"/>
      <c r="AC76" s="96"/>
      <c r="AD76" s="96"/>
    </row>
    <row r="77" ht="22.5" customHeight="1">
      <c r="A77" s="96"/>
      <c r="B77" s="112" t="s">
        <v>351</v>
      </c>
      <c r="C77" s="113" t="s">
        <v>170</v>
      </c>
      <c r="D77" s="113" t="s">
        <v>352</v>
      </c>
      <c r="E77" s="118">
        <v>46110.0</v>
      </c>
      <c r="F77" s="118">
        <v>46110.0</v>
      </c>
      <c r="G77" s="107">
        <v>1.0</v>
      </c>
      <c r="H77" s="116" t="s">
        <v>263</v>
      </c>
      <c r="I77" s="124" t="s">
        <v>156</v>
      </c>
      <c r="J77" s="110" t="s">
        <v>353</v>
      </c>
      <c r="K77" s="111"/>
      <c r="L77" s="96"/>
      <c r="M77" s="96"/>
      <c r="N77" s="96"/>
      <c r="O77" s="96"/>
      <c r="P77" s="96"/>
      <c r="Q77" s="96"/>
      <c r="R77" s="96"/>
      <c r="S77" s="96"/>
      <c r="T77" s="96"/>
      <c r="U77" s="96"/>
      <c r="V77" s="96"/>
      <c r="W77" s="96"/>
      <c r="X77" s="96"/>
      <c r="Y77" s="96"/>
      <c r="Z77" s="96"/>
      <c r="AA77" s="96"/>
      <c r="AB77" s="96"/>
      <c r="AC77" s="96"/>
      <c r="AD77" s="96"/>
    </row>
    <row r="78" ht="22.5" customHeight="1">
      <c r="A78" s="96"/>
      <c r="B78" s="112" t="s">
        <v>354</v>
      </c>
      <c r="C78" s="113" t="s">
        <v>222</v>
      </c>
      <c r="D78" s="113" t="s">
        <v>355</v>
      </c>
      <c r="E78" s="118">
        <v>46110.0</v>
      </c>
      <c r="F78" s="118">
        <v>46110.0</v>
      </c>
      <c r="G78" s="107">
        <v>1.0</v>
      </c>
      <c r="H78" s="116" t="s">
        <v>263</v>
      </c>
      <c r="I78" s="124" t="s">
        <v>156</v>
      </c>
      <c r="J78" s="110" t="s">
        <v>345</v>
      </c>
      <c r="K78" s="111"/>
      <c r="L78" s="96"/>
      <c r="M78" s="96"/>
      <c r="N78" s="96"/>
      <c r="O78" s="96"/>
      <c r="P78" s="96"/>
      <c r="Q78" s="96"/>
      <c r="R78" s="96"/>
      <c r="S78" s="96"/>
      <c r="T78" s="96"/>
      <c r="U78" s="96"/>
      <c r="V78" s="96"/>
      <c r="W78" s="96"/>
      <c r="X78" s="96"/>
      <c r="Y78" s="96"/>
      <c r="Z78" s="96"/>
      <c r="AA78" s="96"/>
      <c r="AB78" s="96"/>
      <c r="AC78" s="96"/>
      <c r="AD78" s="96"/>
    </row>
    <row r="79" ht="22.5" customHeight="1">
      <c r="A79" s="96"/>
      <c r="B79" s="112" t="s">
        <v>356</v>
      </c>
      <c r="C79" s="113" t="s">
        <v>173</v>
      </c>
      <c r="D79" s="113" t="s">
        <v>357</v>
      </c>
      <c r="E79" s="118">
        <v>46110.0</v>
      </c>
      <c r="F79" s="118">
        <v>46111.0</v>
      </c>
      <c r="G79" s="107">
        <v>2.0</v>
      </c>
      <c r="H79" s="116" t="s">
        <v>263</v>
      </c>
      <c r="I79" s="124" t="s">
        <v>160</v>
      </c>
      <c r="J79" s="110" t="s">
        <v>358</v>
      </c>
      <c r="K79" s="111"/>
      <c r="L79" s="96"/>
      <c r="M79" s="96"/>
      <c r="N79" s="96"/>
      <c r="O79" s="96"/>
      <c r="P79" s="96"/>
      <c r="Q79" s="96"/>
      <c r="R79" s="96"/>
      <c r="S79" s="96"/>
      <c r="T79" s="96"/>
      <c r="U79" s="96"/>
      <c r="V79" s="96"/>
      <c r="W79" s="96"/>
      <c r="X79" s="96"/>
      <c r="Y79" s="96"/>
      <c r="Z79" s="96"/>
      <c r="AA79" s="96"/>
      <c r="AB79" s="96"/>
      <c r="AC79" s="96"/>
      <c r="AD79" s="96"/>
    </row>
    <row r="80" ht="22.5" customHeight="1">
      <c r="A80" s="96"/>
      <c r="B80" s="112" t="s">
        <v>359</v>
      </c>
      <c r="C80" s="113" t="s">
        <v>170</v>
      </c>
      <c r="D80" s="113" t="s">
        <v>360</v>
      </c>
      <c r="E80" s="118">
        <v>46111.0</v>
      </c>
      <c r="F80" s="118">
        <v>46111.0</v>
      </c>
      <c r="G80" s="107">
        <v>1.0</v>
      </c>
      <c r="H80" s="116" t="s">
        <v>263</v>
      </c>
      <c r="I80" s="124" t="s">
        <v>156</v>
      </c>
      <c r="J80" s="110" t="s">
        <v>361</v>
      </c>
      <c r="K80" s="111"/>
      <c r="L80" s="96"/>
      <c r="M80" s="96"/>
      <c r="N80" s="96"/>
      <c r="O80" s="96"/>
      <c r="P80" s="96"/>
      <c r="Q80" s="96"/>
      <c r="R80" s="96"/>
      <c r="S80" s="96"/>
      <c r="T80" s="96"/>
      <c r="U80" s="96"/>
      <c r="V80" s="96"/>
      <c r="W80" s="96"/>
      <c r="X80" s="96"/>
      <c r="Y80" s="96"/>
      <c r="Z80" s="96"/>
      <c r="AA80" s="96"/>
      <c r="AB80" s="96"/>
      <c r="AC80" s="96"/>
      <c r="AD80" s="96"/>
    </row>
    <row r="81" ht="22.5" customHeight="1">
      <c r="A81" s="96"/>
      <c r="B81" s="112" t="s">
        <v>362</v>
      </c>
      <c r="C81" s="113" t="s">
        <v>234</v>
      </c>
      <c r="D81" s="113" t="s">
        <v>363</v>
      </c>
      <c r="E81" s="118">
        <v>46111.0</v>
      </c>
      <c r="F81" s="118">
        <v>46111.0</v>
      </c>
      <c r="G81" s="107">
        <v>1.0</v>
      </c>
      <c r="H81" s="116" t="s">
        <v>263</v>
      </c>
      <c r="I81" s="124" t="s">
        <v>160</v>
      </c>
      <c r="J81" s="110" t="s">
        <v>334</v>
      </c>
      <c r="K81" s="111"/>
      <c r="L81" s="96"/>
      <c r="M81" s="96"/>
      <c r="N81" s="96"/>
      <c r="O81" s="96"/>
      <c r="P81" s="96"/>
      <c r="Q81" s="96"/>
      <c r="R81" s="96"/>
      <c r="S81" s="96"/>
      <c r="T81" s="96"/>
      <c r="U81" s="96"/>
      <c r="V81" s="96"/>
      <c r="W81" s="96"/>
      <c r="X81" s="96"/>
      <c r="Y81" s="96"/>
      <c r="Z81" s="96"/>
      <c r="AA81" s="96"/>
      <c r="AB81" s="96"/>
      <c r="AC81" s="96"/>
      <c r="AD81" s="96"/>
    </row>
    <row r="82" ht="22.5" customHeight="1">
      <c r="A82" s="96"/>
      <c r="B82" s="112" t="s">
        <v>364</v>
      </c>
      <c r="C82" s="113" t="s">
        <v>365</v>
      </c>
      <c r="D82" s="113" t="s">
        <v>366</v>
      </c>
      <c r="E82" s="118">
        <v>46111.0</v>
      </c>
      <c r="F82" s="118">
        <v>46112.0</v>
      </c>
      <c r="G82" s="107">
        <v>2.0</v>
      </c>
      <c r="H82" s="116" t="s">
        <v>263</v>
      </c>
      <c r="I82" s="124" t="s">
        <v>160</v>
      </c>
      <c r="J82" s="110" t="s">
        <v>367</v>
      </c>
      <c r="K82" s="111"/>
      <c r="L82" s="96"/>
      <c r="M82" s="96"/>
      <c r="N82" s="96"/>
      <c r="O82" s="96"/>
      <c r="P82" s="96"/>
      <c r="Q82" s="96"/>
      <c r="R82" s="96"/>
      <c r="S82" s="96"/>
      <c r="T82" s="96"/>
      <c r="U82" s="96"/>
      <c r="V82" s="96"/>
      <c r="W82" s="96"/>
      <c r="X82" s="96"/>
      <c r="Y82" s="96"/>
      <c r="Z82" s="96"/>
      <c r="AA82" s="96"/>
      <c r="AB82" s="96"/>
      <c r="AC82" s="96"/>
      <c r="AD82" s="96"/>
    </row>
    <row r="83" ht="22.5" customHeight="1">
      <c r="A83" s="96"/>
      <c r="B83" s="112" t="s">
        <v>368</v>
      </c>
      <c r="C83" s="113" t="s">
        <v>369</v>
      </c>
      <c r="D83" s="113" t="s">
        <v>370</v>
      </c>
      <c r="E83" s="118">
        <v>46112.0</v>
      </c>
      <c r="F83" s="118">
        <v>46112.0</v>
      </c>
      <c r="G83" s="107">
        <v>1.0</v>
      </c>
      <c r="H83" s="116" t="s">
        <v>263</v>
      </c>
      <c r="I83" s="124" t="s">
        <v>160</v>
      </c>
      <c r="J83" s="110" t="s">
        <v>371</v>
      </c>
      <c r="K83" s="111"/>
      <c r="L83" s="96"/>
      <c r="M83" s="96"/>
      <c r="N83" s="96"/>
      <c r="O83" s="96"/>
      <c r="P83" s="96"/>
      <c r="Q83" s="96"/>
      <c r="R83" s="96"/>
      <c r="S83" s="96"/>
      <c r="T83" s="96"/>
      <c r="U83" s="96"/>
      <c r="V83" s="96"/>
      <c r="W83" s="96"/>
      <c r="X83" s="96"/>
      <c r="Y83" s="96"/>
      <c r="Z83" s="96"/>
      <c r="AA83" s="96"/>
      <c r="AB83" s="96"/>
      <c r="AC83" s="96"/>
      <c r="AD83" s="96"/>
    </row>
    <row r="84" ht="22.5" customHeight="1">
      <c r="A84" s="96"/>
      <c r="B84" s="112" t="s">
        <v>372</v>
      </c>
      <c r="C84" s="113" t="s">
        <v>373</v>
      </c>
      <c r="D84" s="113" t="s">
        <v>374</v>
      </c>
      <c r="E84" s="118">
        <v>46112.0</v>
      </c>
      <c r="F84" s="118">
        <v>46112.0</v>
      </c>
      <c r="G84" s="107">
        <v>1.0</v>
      </c>
      <c r="H84" s="116" t="s">
        <v>263</v>
      </c>
      <c r="I84" s="124" t="s">
        <v>156</v>
      </c>
      <c r="J84" s="110" t="s">
        <v>375</v>
      </c>
      <c r="K84" s="111"/>
      <c r="L84" s="96"/>
      <c r="M84" s="96"/>
      <c r="N84" s="96"/>
      <c r="O84" s="96"/>
      <c r="P84" s="96"/>
      <c r="Q84" s="96"/>
      <c r="R84" s="96"/>
      <c r="S84" s="96"/>
      <c r="T84" s="96"/>
      <c r="U84" s="96"/>
      <c r="V84" s="96"/>
      <c r="W84" s="96"/>
      <c r="X84" s="96"/>
      <c r="Y84" s="96"/>
      <c r="Z84" s="96"/>
      <c r="AA84" s="96"/>
      <c r="AB84" s="96"/>
      <c r="AC84" s="96"/>
      <c r="AD84" s="96"/>
    </row>
    <row r="85" ht="13.5" customHeight="1">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72"/>
      <c r="AB85" s="72"/>
      <c r="AC85" s="72"/>
      <c r="AD85" s="72"/>
    </row>
    <row r="86" ht="24.75" customHeight="1">
      <c r="A86" s="72"/>
      <c r="B86" s="95" t="s">
        <v>376</v>
      </c>
      <c r="C86" s="72"/>
      <c r="D86" s="72"/>
      <c r="E86" s="72"/>
      <c r="F86" s="72"/>
      <c r="G86" s="125"/>
      <c r="H86" s="72"/>
      <c r="I86" s="72"/>
      <c r="J86" s="72"/>
      <c r="K86" s="72"/>
      <c r="L86" s="72"/>
      <c r="M86" s="72"/>
      <c r="N86" s="72"/>
      <c r="O86" s="72"/>
      <c r="P86" s="72"/>
      <c r="Q86" s="72"/>
      <c r="R86" s="72"/>
      <c r="S86" s="72"/>
      <c r="T86" s="72"/>
      <c r="U86" s="72"/>
      <c r="V86" s="72"/>
      <c r="W86" s="72"/>
      <c r="X86" s="72"/>
      <c r="Y86" s="72"/>
      <c r="Z86" s="72"/>
      <c r="AA86" s="72"/>
      <c r="AB86" s="72"/>
      <c r="AC86" s="72"/>
      <c r="AD86" s="72"/>
    </row>
    <row r="87" ht="22.5" customHeight="1">
      <c r="A87" s="126"/>
      <c r="B87" s="127" t="s">
        <v>151</v>
      </c>
      <c r="C87" s="128" t="s">
        <v>377</v>
      </c>
      <c r="D87" s="128"/>
      <c r="E87" s="128" t="s">
        <v>378</v>
      </c>
      <c r="F87" s="126"/>
      <c r="G87" s="129"/>
      <c r="H87" s="130"/>
      <c r="I87" s="126"/>
      <c r="J87" s="126"/>
      <c r="K87" s="126"/>
      <c r="L87" s="126"/>
      <c r="M87" s="126"/>
      <c r="N87" s="126"/>
      <c r="O87" s="126"/>
      <c r="P87" s="126"/>
      <c r="Q87" s="126"/>
      <c r="R87" s="126"/>
      <c r="S87" s="126"/>
      <c r="T87" s="126"/>
      <c r="U87" s="126"/>
      <c r="V87" s="126"/>
      <c r="W87" s="126"/>
      <c r="X87" s="126"/>
      <c r="Y87" s="126"/>
      <c r="Z87" s="126"/>
      <c r="AA87" s="126"/>
      <c r="AB87" s="126"/>
      <c r="AC87" s="126"/>
      <c r="AD87" s="126"/>
    </row>
    <row r="88" ht="22.5" customHeight="1">
      <c r="A88" s="126"/>
      <c r="B88" s="110" t="s">
        <v>263</v>
      </c>
      <c r="C88" s="131">
        <f>COUNTIF(H11:H84, "Not Started")</f>
        <v>37</v>
      </c>
      <c r="D88" s="132"/>
      <c r="E88" s="133">
        <f>IFERROR(C88/C95,"")</f>
        <v>0.5</v>
      </c>
      <c r="F88" s="126"/>
      <c r="G88" s="134"/>
      <c r="H88" s="135"/>
      <c r="I88" s="126"/>
      <c r="J88" s="126"/>
      <c r="K88" s="126"/>
      <c r="L88" s="126"/>
      <c r="M88" s="126"/>
      <c r="N88" s="126"/>
      <c r="O88" s="126"/>
      <c r="P88" s="126"/>
      <c r="Q88" s="126"/>
      <c r="R88" s="126"/>
      <c r="S88" s="126"/>
      <c r="T88" s="126"/>
      <c r="U88" s="126"/>
      <c r="V88" s="126"/>
      <c r="W88" s="126"/>
      <c r="X88" s="126"/>
      <c r="Y88" s="126"/>
      <c r="Z88" s="126"/>
      <c r="AA88" s="126"/>
      <c r="AB88" s="126"/>
      <c r="AC88" s="126"/>
      <c r="AD88" s="126"/>
    </row>
    <row r="89" ht="22.5" customHeight="1">
      <c r="A89" s="126"/>
      <c r="B89" s="136" t="s">
        <v>188</v>
      </c>
      <c r="C89" s="131">
        <f>COUNTIF(H11:H84, "In Progress")</f>
        <v>9</v>
      </c>
      <c r="D89" s="132"/>
      <c r="E89" s="133">
        <f>IFERROR(C89/C95,"")</f>
        <v>0.1216216216</v>
      </c>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c r="AD89" s="126"/>
    </row>
    <row r="90" ht="22.5" customHeight="1">
      <c r="A90" s="126"/>
      <c r="B90" s="136" t="s">
        <v>155</v>
      </c>
      <c r="C90" s="131">
        <f>COUNTIF(H11:H84, "Complete")</f>
        <v>28</v>
      </c>
      <c r="D90" s="132"/>
      <c r="E90" s="133">
        <f>IFERROR(C90/C95,"")</f>
        <v>0.3783783784</v>
      </c>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c r="AD90" s="126"/>
    </row>
    <row r="91" ht="22.5" customHeight="1">
      <c r="A91" s="126"/>
      <c r="B91" s="137" t="s">
        <v>379</v>
      </c>
      <c r="C91" s="131">
        <f>COUNTIF(H11:H84, "Needs Review")</f>
        <v>0</v>
      </c>
      <c r="D91" s="132"/>
      <c r="E91" s="133">
        <f>IFERROR(C91/C95,"")</f>
        <v>0</v>
      </c>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c r="AD91" s="126"/>
    </row>
    <row r="92" ht="22.5" customHeight="1">
      <c r="A92" s="126"/>
      <c r="B92" s="138" t="s">
        <v>380</v>
      </c>
      <c r="C92" s="131">
        <f>COUNTIF(H11:H84, "Approved")</f>
        <v>0</v>
      </c>
      <c r="D92" s="132"/>
      <c r="E92" s="133">
        <f>IFERROR(C92/C95,"")</f>
        <v>0</v>
      </c>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c r="AD92" s="126"/>
    </row>
    <row r="93" ht="22.5" customHeight="1">
      <c r="A93" s="126"/>
      <c r="B93" s="139" t="s">
        <v>381</v>
      </c>
      <c r="C93" s="131">
        <f>COUNTIF(H11:H84, "Overdue")</f>
        <v>0</v>
      </c>
      <c r="D93" s="132"/>
      <c r="E93" s="133">
        <f>IFERROR(C93/C95,"")</f>
        <v>0</v>
      </c>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c r="AD93" s="126"/>
    </row>
    <row r="94" ht="22.5" customHeight="1">
      <c r="A94" s="126"/>
      <c r="B94" s="140" t="s">
        <v>382</v>
      </c>
      <c r="C94" s="141">
        <f>COUNTIF(H11:H84, "On Hold")</f>
        <v>0</v>
      </c>
      <c r="D94" s="142"/>
      <c r="E94" s="143">
        <f>IFERROR(C94/C95,"")</f>
        <v>0</v>
      </c>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c r="AD94" s="126"/>
    </row>
    <row r="95" ht="22.5" customHeight="1">
      <c r="A95" s="126"/>
      <c r="B95" s="144" t="s">
        <v>383</v>
      </c>
      <c r="C95" s="145">
        <f>SUM(C88:C94)</f>
        <v>74</v>
      </c>
      <c r="D95" s="146"/>
      <c r="E95" s="146">
        <f>SUM(E88:E94)</f>
        <v>1</v>
      </c>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c r="AD95" s="126"/>
    </row>
    <row r="96" ht="13.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c r="AD96" s="126"/>
    </row>
    <row r="97" ht="24.75" customHeight="1">
      <c r="A97" s="72"/>
      <c r="B97" s="95" t="s">
        <v>384</v>
      </c>
      <c r="C97" s="72"/>
      <c r="D97" s="72"/>
      <c r="E97" s="72"/>
      <c r="F97" s="72"/>
      <c r="G97" s="147" t="s">
        <v>385</v>
      </c>
      <c r="H97" s="72"/>
      <c r="I97" s="72"/>
      <c r="J97" s="72"/>
      <c r="K97" s="72"/>
      <c r="L97" s="72"/>
      <c r="M97" s="72"/>
      <c r="N97" s="72"/>
      <c r="O97" s="72"/>
      <c r="P97" s="72"/>
      <c r="Q97" s="72"/>
      <c r="R97" s="72"/>
      <c r="S97" s="72"/>
      <c r="T97" s="72"/>
      <c r="U97" s="72"/>
      <c r="V97" s="72"/>
      <c r="W97" s="72"/>
      <c r="X97" s="72"/>
      <c r="Y97" s="72"/>
      <c r="Z97" s="72"/>
      <c r="AA97" s="72"/>
      <c r="AB97" s="72"/>
      <c r="AC97" s="72"/>
      <c r="AD97" s="72"/>
    </row>
    <row r="98" ht="22.5" customHeight="1">
      <c r="A98" s="126"/>
      <c r="B98" s="127" t="s">
        <v>386</v>
      </c>
      <c r="C98" s="128" t="s">
        <v>377</v>
      </c>
      <c r="D98" s="128"/>
      <c r="E98" s="128" t="s">
        <v>378</v>
      </c>
      <c r="F98" s="126"/>
      <c r="G98" s="148" t="s">
        <v>387</v>
      </c>
      <c r="H98" s="149"/>
      <c r="I98" s="126"/>
      <c r="J98" s="126"/>
      <c r="K98" s="126"/>
      <c r="L98" s="126"/>
      <c r="M98" s="126"/>
      <c r="N98" s="126"/>
      <c r="O98" s="126"/>
      <c r="P98" s="126"/>
      <c r="Q98" s="126"/>
      <c r="R98" s="126"/>
      <c r="S98" s="126"/>
      <c r="T98" s="126"/>
      <c r="U98" s="126"/>
      <c r="V98" s="126"/>
      <c r="W98" s="126"/>
      <c r="X98" s="126"/>
      <c r="Y98" s="126"/>
      <c r="Z98" s="126"/>
      <c r="AA98" s="126"/>
      <c r="AB98" s="126"/>
      <c r="AC98" s="126"/>
      <c r="AD98" s="126"/>
    </row>
    <row r="99" ht="22.5" customHeight="1">
      <c r="A99" s="126"/>
      <c r="B99" s="150" t="s">
        <v>388</v>
      </c>
      <c r="C99" s="131">
        <f>COUNTIF(I11:I84, "Low")</f>
        <v>0</v>
      </c>
      <c r="D99" s="132"/>
      <c r="E99" s="132">
        <f>IFERROR(C99/C102,"")</f>
        <v>0</v>
      </c>
      <c r="F99" s="126"/>
      <c r="G99" s="151" t="s">
        <v>389</v>
      </c>
      <c r="H99" s="149">
        <v>3.0</v>
      </c>
      <c r="I99" s="126"/>
      <c r="J99" s="126"/>
      <c r="K99" s="126"/>
      <c r="L99" s="126"/>
      <c r="M99" s="126"/>
      <c r="N99" s="126"/>
      <c r="O99" s="126"/>
      <c r="P99" s="126"/>
      <c r="Q99" s="126"/>
      <c r="R99" s="126"/>
      <c r="S99" s="126"/>
      <c r="T99" s="126"/>
      <c r="U99" s="126"/>
      <c r="V99" s="126"/>
      <c r="W99" s="126"/>
      <c r="X99" s="126"/>
      <c r="Y99" s="126"/>
      <c r="Z99" s="126"/>
      <c r="AA99" s="126"/>
      <c r="AB99" s="126"/>
      <c r="AC99" s="126"/>
      <c r="AD99" s="126"/>
    </row>
    <row r="100" ht="22.5" customHeight="1">
      <c r="A100" s="126"/>
      <c r="B100" s="152" t="s">
        <v>160</v>
      </c>
      <c r="C100" s="131">
        <f>COUNTIF(I11:I84, "Medium")</f>
        <v>24</v>
      </c>
      <c r="D100" s="132"/>
      <c r="E100" s="132">
        <f>IFERROR(C100/C102,"")</f>
        <v>0.3243243243</v>
      </c>
      <c r="F100" s="126"/>
      <c r="G100" s="153" t="s">
        <v>390</v>
      </c>
      <c r="H100" s="154"/>
      <c r="I100" s="126"/>
      <c r="J100" s="126"/>
      <c r="K100" s="126"/>
      <c r="L100" s="126"/>
      <c r="M100" s="126"/>
      <c r="N100" s="126"/>
      <c r="O100" s="126"/>
      <c r="P100" s="126"/>
      <c r="Q100" s="126"/>
      <c r="R100" s="126"/>
      <c r="S100" s="126"/>
      <c r="T100" s="126"/>
      <c r="U100" s="126"/>
      <c r="V100" s="126"/>
      <c r="W100" s="126"/>
      <c r="X100" s="126"/>
      <c r="Y100" s="126"/>
      <c r="Z100" s="126"/>
      <c r="AA100" s="126"/>
      <c r="AB100" s="126"/>
      <c r="AC100" s="126"/>
      <c r="AD100" s="126"/>
    </row>
    <row r="101" ht="22.5" customHeight="1">
      <c r="A101" s="126"/>
      <c r="B101" s="155" t="s">
        <v>156</v>
      </c>
      <c r="C101" s="141">
        <f>COUNTIF(I11:I84, "High")</f>
        <v>50</v>
      </c>
      <c r="D101" s="142"/>
      <c r="E101" s="142">
        <f>IFERROR(C101/C102,"")</f>
        <v>0.6756756757</v>
      </c>
      <c r="F101" s="126"/>
      <c r="G101" s="72"/>
      <c r="H101" s="72"/>
      <c r="I101" s="126"/>
      <c r="J101" s="126"/>
      <c r="K101" s="126"/>
      <c r="L101" s="126"/>
      <c r="M101" s="126"/>
      <c r="N101" s="126"/>
      <c r="O101" s="126"/>
      <c r="P101" s="126"/>
      <c r="Q101" s="126"/>
      <c r="R101" s="126"/>
      <c r="S101" s="126"/>
      <c r="T101" s="126"/>
      <c r="U101" s="126"/>
      <c r="V101" s="126"/>
      <c r="W101" s="126"/>
      <c r="X101" s="126"/>
      <c r="Y101" s="126"/>
      <c r="Z101" s="126"/>
      <c r="AA101" s="126"/>
      <c r="AB101" s="126"/>
      <c r="AC101" s="126"/>
      <c r="AD101" s="126"/>
    </row>
    <row r="102" ht="22.5" customHeight="1">
      <c r="A102" s="126"/>
      <c r="B102" s="144" t="s">
        <v>383</v>
      </c>
      <c r="C102" s="145">
        <f>SUM(C99:C101)</f>
        <v>74</v>
      </c>
      <c r="D102" s="146"/>
      <c r="E102" s="146">
        <f>SUM(E99:E101)</f>
        <v>1</v>
      </c>
      <c r="F102" s="126"/>
      <c r="G102" s="72"/>
      <c r="H102" s="72"/>
      <c r="I102" s="126"/>
      <c r="J102" s="126"/>
      <c r="K102" s="126"/>
      <c r="L102" s="126"/>
      <c r="M102" s="126"/>
      <c r="N102" s="126"/>
      <c r="O102" s="126"/>
      <c r="P102" s="126"/>
      <c r="Q102" s="126"/>
      <c r="R102" s="126"/>
      <c r="S102" s="126"/>
      <c r="T102" s="126"/>
      <c r="U102" s="126"/>
      <c r="V102" s="126"/>
      <c r="W102" s="126"/>
      <c r="X102" s="126"/>
      <c r="Y102" s="126"/>
      <c r="Z102" s="126"/>
      <c r="AA102" s="126"/>
      <c r="AB102" s="126"/>
      <c r="AC102" s="126"/>
      <c r="AD102" s="126"/>
    </row>
    <row r="103" ht="13.5" customHeight="1">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row>
    <row r="104" ht="13.5" customHeight="1">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row>
    <row r="105" ht="13.5" customHeight="1">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row>
    <row r="106" ht="13.5" customHeight="1">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row>
    <row r="107" ht="13.5" customHeight="1">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row>
    <row r="108" ht="13.5" customHeight="1">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row>
    <row r="109" ht="13.5" customHeight="1">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row>
    <row r="110" ht="13.5" customHeight="1">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row>
    <row r="111" ht="13.5" customHeight="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row>
    <row r="112" ht="13.5" customHeight="1">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row>
    <row r="113" ht="13.5" customHeight="1">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row>
    <row r="114" ht="13.5" customHeight="1">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row>
    <row r="115" ht="13.5" customHeight="1">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row>
    <row r="116" ht="13.5" customHeight="1">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row>
    <row r="117" ht="13.5" customHeight="1">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row>
    <row r="118" ht="13.5" customHeight="1">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row>
    <row r="119" ht="13.5" customHeight="1">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row>
    <row r="120" ht="13.5" customHeight="1">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row>
    <row r="121" ht="13.5" customHeight="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row>
    <row r="122" ht="13.5" customHeight="1">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row>
    <row r="123" ht="13.5" customHeight="1">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row>
    <row r="124" ht="13.5" customHeight="1">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row>
    <row r="125" ht="13.5" customHeight="1">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c r="AC125" s="72"/>
      <c r="AD125" s="72"/>
    </row>
    <row r="126" ht="13.5" customHeight="1">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row>
    <row r="127" ht="13.5" customHeight="1">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row>
    <row r="128" ht="13.5" customHeight="1">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c r="AC128" s="72"/>
      <c r="AD128" s="72"/>
    </row>
    <row r="129" ht="13.5" customHeight="1">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row>
    <row r="130" ht="13.5" customHeight="1">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row>
    <row r="131" ht="13.5" customHeight="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row>
    <row r="132" ht="13.5" customHeight="1">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row>
    <row r="133" ht="13.5" customHeight="1">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row>
    <row r="134" ht="13.5" customHeight="1">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row>
    <row r="135" ht="13.5" customHeight="1">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row>
    <row r="136" ht="13.5" customHeight="1">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row>
    <row r="137" ht="13.5" customHeight="1">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row>
    <row r="138" ht="13.5" customHeight="1">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row>
    <row r="139" ht="13.5" customHeight="1">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c r="AC139" s="72"/>
      <c r="AD139" s="72"/>
    </row>
    <row r="140" ht="13.5" customHeight="1">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row>
    <row r="141" ht="13.5" customHeight="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row>
    <row r="142" ht="13.5" customHeight="1">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row>
    <row r="143" ht="13.5" customHeight="1">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row>
    <row r="144" ht="13.5" customHeight="1">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c r="AD144" s="72"/>
    </row>
    <row r="145" ht="13.5" customHeight="1">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row>
    <row r="146" ht="13.5" customHeight="1">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row>
    <row r="147" ht="13.5" customHeight="1">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c r="AD147" s="72"/>
    </row>
    <row r="148" ht="13.5" customHeight="1">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c r="AB148" s="72"/>
      <c r="AC148" s="72"/>
      <c r="AD148" s="72"/>
    </row>
    <row r="149" ht="13.5" customHeight="1">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c r="AB149" s="72"/>
      <c r="AC149" s="72"/>
      <c r="AD149" s="72"/>
    </row>
    <row r="150" ht="13.5" customHeight="1">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c r="AD150" s="72"/>
    </row>
    <row r="151" ht="13.5" customHeight="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c r="AD151" s="72"/>
    </row>
    <row r="152" ht="13.5" customHeight="1">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row>
    <row r="153" ht="13.5" customHeight="1">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c r="AD153" s="72"/>
    </row>
    <row r="154" ht="13.5" customHeight="1">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row>
    <row r="155" ht="13.5" customHeight="1">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row>
    <row r="156" ht="13.5" customHeight="1">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row>
    <row r="157" ht="13.5" customHeight="1">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row>
    <row r="158" ht="13.5" customHeight="1">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row>
    <row r="159" ht="13.5" customHeight="1">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row>
    <row r="160" ht="13.5" customHeight="1">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row>
    <row r="161" ht="13.5" customHeight="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c r="AC161" s="72"/>
      <c r="AD161" s="72"/>
    </row>
    <row r="162" ht="13.5" customHeight="1">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c r="AC162" s="72"/>
      <c r="AD162" s="72"/>
    </row>
    <row r="163" ht="13.5" customHeight="1">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c r="AC163" s="72"/>
      <c r="AD163" s="72"/>
    </row>
    <row r="164" ht="13.5" customHeight="1">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c r="AC164" s="72"/>
      <c r="AD164" s="72"/>
    </row>
    <row r="165" ht="13.5" customHeight="1">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row>
    <row r="166" ht="13.5" customHeight="1">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row>
    <row r="167" ht="13.5" customHeight="1">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c r="AC167" s="72"/>
      <c r="AD167" s="72"/>
    </row>
    <row r="168" ht="13.5" customHeight="1">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row>
    <row r="169" ht="13.5" customHeight="1">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row>
    <row r="170" ht="13.5" customHeight="1">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row>
    <row r="171" ht="13.5" customHeight="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row>
    <row r="172" ht="13.5" customHeight="1">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row>
    <row r="173" ht="13.5" customHeight="1">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row>
    <row r="174" ht="13.5" customHeight="1">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row>
    <row r="175" ht="13.5" customHeight="1">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row>
    <row r="176" ht="13.5" customHeight="1">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row>
    <row r="177" ht="13.5" customHeight="1">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row>
    <row r="178" ht="13.5" customHeight="1">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row>
    <row r="179" ht="13.5" customHeight="1">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row>
    <row r="180" ht="13.5" customHeight="1">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row>
    <row r="181" ht="13.5" customHeight="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row>
    <row r="182" ht="13.5" customHeight="1">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row>
    <row r="183" ht="13.5" customHeight="1">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row>
    <row r="184" ht="13.5" customHeight="1">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c r="AC184" s="72"/>
      <c r="AD184" s="72"/>
    </row>
    <row r="185" ht="13.5" customHeight="1">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c r="AC185" s="72"/>
      <c r="AD185" s="72"/>
    </row>
    <row r="186" ht="13.5" customHeight="1">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row>
    <row r="187" ht="13.5" customHeight="1">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row>
    <row r="188" ht="13.5" customHeight="1">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row>
    <row r="189" ht="13.5" customHeight="1">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row>
    <row r="190" ht="13.5" customHeight="1">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row>
    <row r="191" ht="13.5" customHeight="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row>
    <row r="192" ht="13.5" customHeight="1">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row>
    <row r="193" ht="13.5" customHeight="1">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row>
    <row r="194" ht="13.5" customHeight="1">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row>
    <row r="195" ht="13.5" customHeight="1">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c r="AC195" s="72"/>
      <c r="AD195" s="72"/>
    </row>
    <row r="196" ht="13.5" customHeight="1">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row>
    <row r="197" ht="13.5" customHeight="1">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c r="AC197" s="72"/>
      <c r="AD197" s="72"/>
    </row>
    <row r="198" ht="13.5" customHeight="1">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row>
    <row r="199" ht="13.5" customHeight="1">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c r="AC199" s="72"/>
      <c r="AD199" s="72"/>
    </row>
    <row r="200" ht="13.5" customHeight="1">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row>
    <row r="201" ht="13.5" customHeight="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row>
    <row r="202" ht="13.5" customHeight="1">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row>
    <row r="203" ht="13.5" customHeight="1">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row>
    <row r="204" ht="13.5" customHeight="1">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row>
    <row r="205" ht="13.5" customHeight="1">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row>
    <row r="206" ht="13.5" customHeight="1">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row>
    <row r="207" ht="13.5" customHeight="1">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row>
    <row r="208" ht="13.5" customHeight="1">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row>
    <row r="209" ht="13.5" customHeight="1">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row>
    <row r="210" ht="13.5" customHeight="1">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row>
    <row r="211" ht="13.5" customHeight="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row>
    <row r="212" ht="13.5" customHeight="1">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row>
    <row r="213" ht="13.5" customHeight="1">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row>
    <row r="214" ht="13.5" customHeight="1">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row>
    <row r="215" ht="13.5" customHeight="1">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row>
    <row r="216" ht="13.5" customHeight="1">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row>
    <row r="217" ht="13.5" customHeight="1">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row>
    <row r="218" ht="13.5" customHeight="1">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row>
    <row r="219" ht="13.5" customHeight="1">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row>
    <row r="220" ht="13.5" customHeight="1">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row>
    <row r="221" ht="13.5" customHeight="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row>
    <row r="222" ht="13.5" customHeight="1">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row>
    <row r="223" ht="13.5" customHeight="1">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c r="AC223" s="72"/>
      <c r="AD223" s="72"/>
    </row>
    <row r="224" ht="13.5" customHeight="1">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row>
    <row r="225" ht="13.5" customHeight="1">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c r="AC225" s="72"/>
      <c r="AD225" s="72"/>
    </row>
    <row r="226" ht="13.5" customHeight="1">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row>
    <row r="227" ht="13.5" customHeight="1">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row>
    <row r="228" ht="13.5" customHeight="1">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c r="AC228" s="72"/>
      <c r="AD228" s="72"/>
    </row>
    <row r="229" ht="13.5" customHeight="1">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row>
    <row r="230" ht="13.5" customHeight="1">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c r="AD230" s="72"/>
    </row>
    <row r="231" ht="13.5" customHeight="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row>
    <row r="232" ht="13.5" customHeight="1">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row>
    <row r="233" ht="13.5" customHeight="1">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row>
    <row r="234" ht="13.5" customHeight="1">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c r="AC234" s="72"/>
      <c r="AD234" s="72"/>
    </row>
    <row r="235" ht="13.5" customHeight="1">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row>
    <row r="236" ht="13.5" customHeight="1">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c r="AC236" s="72"/>
      <c r="AD236" s="72"/>
    </row>
    <row r="237" ht="13.5" customHeight="1">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row>
    <row r="238" ht="13.5" customHeight="1">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c r="AC238" s="72"/>
      <c r="AD238" s="72"/>
    </row>
    <row r="239" ht="13.5" customHeight="1">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row>
    <row r="240" ht="13.5" customHeight="1">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c r="AC240" s="72"/>
      <c r="AD240" s="72"/>
    </row>
    <row r="241" ht="13.5" customHeight="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c r="AC241" s="72"/>
      <c r="AD241" s="72"/>
    </row>
    <row r="242" ht="13.5" customHeight="1">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c r="AC242" s="72"/>
      <c r="AD242" s="72"/>
    </row>
    <row r="243" ht="13.5" customHeight="1">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c r="AC243" s="72"/>
      <c r="AD243" s="72"/>
    </row>
    <row r="244" ht="13.5" customHeight="1">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row>
    <row r="245" ht="13.5" customHeight="1">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c r="AC245" s="72"/>
      <c r="AD245" s="72"/>
    </row>
    <row r="246" ht="13.5" customHeight="1">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c r="AC246" s="72"/>
      <c r="AD246" s="72"/>
    </row>
    <row r="247" ht="13.5" customHeight="1">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c r="AC247" s="72"/>
      <c r="AD247" s="72"/>
    </row>
    <row r="248" ht="13.5" customHeight="1">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c r="AC248" s="72"/>
      <c r="AD248" s="72"/>
    </row>
    <row r="249" ht="13.5" customHeight="1">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c r="AC249" s="72"/>
      <c r="AD249" s="72"/>
    </row>
    <row r="250" ht="13.5" customHeight="1">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c r="AC250" s="72"/>
      <c r="AD250" s="72"/>
    </row>
    <row r="251" ht="13.5" customHeight="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row>
    <row r="252" ht="13.5" customHeight="1">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c r="AC252" s="72"/>
      <c r="AD252" s="72"/>
    </row>
    <row r="253" ht="13.5" customHeight="1">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c r="AC253" s="72"/>
      <c r="AD253" s="72"/>
    </row>
    <row r="254" ht="13.5" customHeight="1">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row>
    <row r="255" ht="13.5" customHeight="1">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row>
    <row r="256" ht="13.5" customHeight="1">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row>
    <row r="257" ht="13.5" customHeight="1">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c r="AC257" s="72"/>
      <c r="AD257" s="72"/>
    </row>
    <row r="258" ht="13.5" customHeight="1">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row>
    <row r="259" ht="13.5" customHeight="1">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row>
    <row r="260" ht="13.5" customHeight="1">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c r="AC260" s="72"/>
      <c r="AD260" s="72"/>
    </row>
    <row r="261" ht="13.5" customHeight="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c r="AC261" s="72"/>
      <c r="AD261" s="72"/>
    </row>
    <row r="262" ht="13.5" customHeight="1">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c r="AC262" s="72"/>
      <c r="AD262" s="72"/>
    </row>
    <row r="263" ht="13.5" customHeight="1">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c r="AC263" s="72"/>
      <c r="AD263" s="72"/>
    </row>
    <row r="264" ht="13.5" customHeight="1">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c r="AC264" s="72"/>
      <c r="AD264" s="72"/>
    </row>
    <row r="265" ht="13.5" customHeight="1">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row>
    <row r="266" ht="13.5" customHeight="1">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row>
    <row r="267" ht="13.5" customHeight="1">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c r="AC267" s="72"/>
      <c r="AD267" s="72"/>
    </row>
    <row r="268" ht="13.5" customHeight="1">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c r="AC268" s="72"/>
      <c r="AD268" s="72"/>
    </row>
    <row r="269" ht="13.5" customHeight="1">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c r="AD269" s="72"/>
    </row>
    <row r="270" ht="13.5" customHeight="1">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row>
    <row r="271" ht="13.5" customHeight="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c r="AD271" s="72"/>
    </row>
    <row r="272" ht="13.5" customHeight="1">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c r="AD272" s="72"/>
    </row>
    <row r="273" ht="13.5" customHeight="1">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row>
    <row r="274" ht="13.5" customHeight="1">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row>
    <row r="275" ht="13.5" customHeight="1">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row>
    <row r="276" ht="13.5" customHeight="1">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row>
    <row r="277" ht="13.5" customHeight="1">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row>
    <row r="278" ht="13.5" customHeight="1">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row>
    <row r="279" ht="13.5" customHeight="1">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row>
    <row r="280" ht="13.5" customHeight="1">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row>
    <row r="281" ht="13.5" customHeight="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c r="AC281" s="72"/>
      <c r="AD281" s="72"/>
    </row>
    <row r="282" ht="13.5" customHeight="1">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row>
    <row r="283" ht="13.5" customHeight="1">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row>
    <row r="284" ht="13.5" customHeight="1">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row>
    <row r="285" ht="13.5" customHeight="1">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row>
    <row r="286" ht="13.5" customHeight="1">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row>
    <row r="287" ht="13.5" customHeight="1">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row>
    <row r="288" ht="13.5" customHeight="1">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row>
    <row r="289" ht="13.5" customHeight="1">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row>
    <row r="290" ht="13.5" customHeight="1">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row>
    <row r="291" ht="13.5" customHeight="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row>
    <row r="292" ht="13.5" customHeight="1">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row>
    <row r="293" ht="13.5" customHeight="1">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row>
    <row r="294" ht="13.5" customHeight="1">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row>
    <row r="295" ht="13.5" customHeight="1">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row>
    <row r="296" ht="13.5" customHeight="1">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row>
    <row r="297" ht="13.5" customHeight="1">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row>
    <row r="298" ht="13.5" customHeight="1">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row>
    <row r="299" ht="13.5" customHeight="1">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c r="AC299" s="72"/>
      <c r="AD299" s="72"/>
    </row>
    <row r="300" ht="13.5" customHeight="1">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c r="AC300" s="72"/>
      <c r="AD300" s="72"/>
    </row>
    <row r="301" ht="13.5" customHeight="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c r="AC301" s="72"/>
      <c r="AD301" s="72"/>
    </row>
    <row r="302" ht="13.5" customHeight="1">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c r="AC302" s="72"/>
      <c r="AD302" s="72"/>
    </row>
    <row r="303" ht="13.5" customHeight="1">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c r="AC303" s="72"/>
      <c r="AD303" s="72"/>
    </row>
    <row r="304" ht="13.5" customHeight="1">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c r="AA304" s="88"/>
      <c r="AB304" s="88"/>
      <c r="AC304" s="88"/>
      <c r="AD304" s="88"/>
    </row>
    <row r="305" ht="13.5" customHeight="1">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c r="AA305" s="88"/>
      <c r="AB305" s="88"/>
      <c r="AC305" s="88"/>
      <c r="AD305" s="88"/>
    </row>
    <row r="306" ht="13.5" customHeight="1">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c r="AA306" s="88"/>
      <c r="AB306" s="88"/>
      <c r="AC306" s="88"/>
      <c r="AD306" s="88"/>
    </row>
    <row r="307" ht="13.5" customHeight="1">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c r="AA307" s="88"/>
      <c r="AB307" s="88"/>
      <c r="AC307" s="88"/>
      <c r="AD307" s="88"/>
    </row>
    <row r="308" ht="13.5" customHeight="1">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c r="AA308" s="88"/>
      <c r="AB308" s="88"/>
      <c r="AC308" s="88"/>
      <c r="AD308" s="88"/>
    </row>
    <row r="309" ht="13.5" customHeight="1">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c r="AA309" s="88"/>
      <c r="AB309" s="88"/>
      <c r="AC309" s="88"/>
      <c r="AD309" s="88"/>
    </row>
    <row r="310" ht="13.5" customHeight="1">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c r="AA310" s="88"/>
      <c r="AB310" s="88"/>
      <c r="AC310" s="88"/>
      <c r="AD310" s="88"/>
    </row>
    <row r="311" ht="13.5" customHeight="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c r="AA311" s="88"/>
      <c r="AB311" s="88"/>
      <c r="AC311" s="88"/>
      <c r="AD311" s="88"/>
    </row>
    <row r="312" ht="13.5" customHeight="1">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c r="AA312" s="88"/>
      <c r="AB312" s="88"/>
      <c r="AC312" s="88"/>
      <c r="AD312" s="88"/>
    </row>
    <row r="313" ht="13.5" customHeight="1">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c r="AA313" s="88"/>
      <c r="AB313" s="88"/>
      <c r="AC313" s="88"/>
      <c r="AD313" s="88"/>
    </row>
    <row r="314" ht="13.5" customHeight="1">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c r="AA314" s="88"/>
      <c r="AB314" s="88"/>
      <c r="AC314" s="88"/>
      <c r="AD314" s="88"/>
    </row>
    <row r="315" ht="13.5" customHeight="1">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c r="AA315" s="88"/>
      <c r="AB315" s="88"/>
      <c r="AC315" s="88"/>
      <c r="AD315" s="88"/>
    </row>
    <row r="316" ht="13.5" customHeight="1">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c r="AA316" s="88"/>
      <c r="AB316" s="88"/>
      <c r="AC316" s="88"/>
      <c r="AD316" s="88"/>
    </row>
    <row r="317" ht="13.5" customHeight="1">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c r="AA317" s="88"/>
      <c r="AB317" s="88"/>
      <c r="AC317" s="88"/>
      <c r="AD317" s="88"/>
    </row>
    <row r="318" ht="13.5" customHeight="1">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c r="AA318" s="88"/>
      <c r="AB318" s="88"/>
      <c r="AC318" s="88"/>
      <c r="AD318" s="88"/>
    </row>
    <row r="319" ht="13.5" customHeight="1">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c r="AA319" s="88"/>
      <c r="AB319" s="88"/>
      <c r="AC319" s="88"/>
      <c r="AD319" s="88"/>
    </row>
    <row r="320" ht="13.5" customHeight="1">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c r="AA320" s="88"/>
      <c r="AB320" s="88"/>
      <c r="AC320" s="88"/>
      <c r="AD320" s="88"/>
    </row>
    <row r="321" ht="13.5" customHeight="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c r="AA321" s="88"/>
      <c r="AB321" s="88"/>
      <c r="AC321" s="88"/>
      <c r="AD321" s="88"/>
    </row>
    <row r="322" ht="13.5" customHeight="1">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c r="AA322" s="88"/>
      <c r="AB322" s="88"/>
      <c r="AC322" s="88"/>
      <c r="AD322" s="88"/>
    </row>
    <row r="323" ht="13.5" customHeight="1">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c r="AA323" s="88"/>
      <c r="AB323" s="88"/>
      <c r="AC323" s="88"/>
      <c r="AD323" s="88"/>
    </row>
    <row r="324" ht="13.5" customHeight="1">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c r="AA324" s="88"/>
      <c r="AB324" s="88"/>
      <c r="AC324" s="88"/>
      <c r="AD324" s="88"/>
    </row>
    <row r="325" ht="13.5" customHeight="1">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c r="AA325" s="88"/>
      <c r="AB325" s="88"/>
      <c r="AC325" s="88"/>
      <c r="AD325" s="88"/>
    </row>
    <row r="326" ht="13.5" customHeight="1">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c r="AA326" s="88"/>
      <c r="AB326" s="88"/>
      <c r="AC326" s="88"/>
      <c r="AD326" s="88"/>
    </row>
    <row r="327" ht="13.5" customHeight="1">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c r="AA327" s="88"/>
      <c r="AB327" s="88"/>
      <c r="AC327" s="88"/>
      <c r="AD327" s="88"/>
    </row>
    <row r="328" ht="13.5" customHeight="1">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c r="AA328" s="88"/>
      <c r="AB328" s="88"/>
      <c r="AC328" s="88"/>
      <c r="AD328" s="88"/>
    </row>
    <row r="329" ht="13.5" customHeight="1">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c r="AA329" s="88"/>
      <c r="AB329" s="88"/>
      <c r="AC329" s="88"/>
      <c r="AD329" s="88"/>
    </row>
    <row r="330" ht="13.5" customHeight="1">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c r="AA330" s="88"/>
      <c r="AB330" s="88"/>
      <c r="AC330" s="88"/>
      <c r="AD330" s="88"/>
    </row>
    <row r="331" ht="13.5" customHeight="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c r="AA331" s="88"/>
      <c r="AB331" s="88"/>
      <c r="AC331" s="88"/>
      <c r="AD331" s="88"/>
    </row>
    <row r="332" ht="13.5" customHeight="1">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c r="AA332" s="88"/>
      <c r="AB332" s="88"/>
      <c r="AC332" s="88"/>
      <c r="AD332" s="88"/>
    </row>
    <row r="333" ht="13.5" customHeight="1">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c r="AA333" s="88"/>
      <c r="AB333" s="88"/>
      <c r="AC333" s="88"/>
      <c r="AD333" s="88"/>
    </row>
    <row r="334" ht="13.5" customHeight="1">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c r="AA334" s="88"/>
      <c r="AB334" s="88"/>
      <c r="AC334" s="88"/>
      <c r="AD334" s="88"/>
    </row>
    <row r="335" ht="13.5" customHeight="1">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c r="AA335" s="88"/>
      <c r="AB335" s="88"/>
      <c r="AC335" s="88"/>
      <c r="AD335" s="88"/>
    </row>
    <row r="336" ht="13.5" customHeight="1">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c r="AA336" s="88"/>
      <c r="AB336" s="88"/>
      <c r="AC336" s="88"/>
      <c r="AD336" s="88"/>
    </row>
    <row r="337" ht="13.5" customHeight="1">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c r="AA337" s="88"/>
      <c r="AB337" s="88"/>
      <c r="AC337" s="88"/>
      <c r="AD337" s="88"/>
    </row>
    <row r="338" ht="13.5" customHeight="1">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c r="AA338" s="88"/>
      <c r="AB338" s="88"/>
      <c r="AC338" s="88"/>
      <c r="AD338" s="88"/>
    </row>
    <row r="339" ht="13.5" customHeight="1">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c r="AA339" s="88"/>
      <c r="AB339" s="88"/>
      <c r="AC339" s="88"/>
      <c r="AD339" s="88"/>
    </row>
    <row r="340" ht="13.5" customHeight="1">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c r="AA340" s="88"/>
      <c r="AB340" s="88"/>
      <c r="AC340" s="88"/>
      <c r="AD340" s="88"/>
    </row>
    <row r="341" ht="13.5" customHeight="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c r="AA341" s="88"/>
      <c r="AB341" s="88"/>
      <c r="AC341" s="88"/>
      <c r="AD341" s="88"/>
    </row>
    <row r="342" ht="13.5" customHeight="1">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c r="AA342" s="88"/>
      <c r="AB342" s="88"/>
      <c r="AC342" s="88"/>
      <c r="AD342" s="88"/>
    </row>
    <row r="343" ht="13.5" customHeight="1">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c r="AA343" s="88"/>
      <c r="AB343" s="88"/>
      <c r="AC343" s="88"/>
      <c r="AD343" s="88"/>
    </row>
    <row r="344" ht="13.5" customHeight="1">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c r="AA344" s="88"/>
      <c r="AB344" s="88"/>
      <c r="AC344" s="88"/>
      <c r="AD344" s="88"/>
    </row>
    <row r="345" ht="13.5" customHeight="1">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c r="AA345" s="88"/>
      <c r="AB345" s="88"/>
      <c r="AC345" s="88"/>
      <c r="AD345" s="88"/>
    </row>
    <row r="346" ht="13.5" customHeight="1">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c r="AA346" s="88"/>
      <c r="AB346" s="88"/>
      <c r="AC346" s="88"/>
      <c r="AD346" s="88"/>
    </row>
    <row r="347" ht="13.5" customHeight="1">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c r="AA347" s="88"/>
      <c r="AB347" s="88"/>
      <c r="AC347" s="88"/>
      <c r="AD347" s="88"/>
    </row>
    <row r="348" ht="13.5" customHeight="1">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c r="AA348" s="88"/>
      <c r="AB348" s="88"/>
      <c r="AC348" s="88"/>
      <c r="AD348" s="88"/>
    </row>
    <row r="349" ht="13.5" customHeight="1">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c r="AA349" s="88"/>
      <c r="AB349" s="88"/>
      <c r="AC349" s="88"/>
      <c r="AD349" s="88"/>
    </row>
    <row r="350" ht="13.5" customHeight="1">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c r="AA350" s="88"/>
      <c r="AB350" s="88"/>
      <c r="AC350" s="88"/>
      <c r="AD350" s="88"/>
    </row>
    <row r="351" ht="13.5" customHeight="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c r="AA351" s="88"/>
      <c r="AB351" s="88"/>
      <c r="AC351" s="88"/>
      <c r="AD351" s="88"/>
    </row>
    <row r="352" ht="13.5" customHeight="1">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row>
    <row r="353" ht="13.5" customHeight="1">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c r="AA353" s="88"/>
      <c r="AB353" s="88"/>
      <c r="AC353" s="88"/>
      <c r="AD353" s="88"/>
    </row>
    <row r="354" ht="13.5" customHeight="1">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c r="AA354" s="88"/>
      <c r="AB354" s="88"/>
      <c r="AC354" s="88"/>
      <c r="AD354" s="88"/>
    </row>
    <row r="355" ht="13.5" customHeight="1">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c r="AA355" s="88"/>
      <c r="AB355" s="88"/>
      <c r="AC355" s="88"/>
      <c r="AD355" s="88"/>
    </row>
    <row r="356" ht="13.5" customHeight="1">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c r="AA356" s="88"/>
      <c r="AB356" s="88"/>
      <c r="AC356" s="88"/>
      <c r="AD356" s="88"/>
    </row>
    <row r="357" ht="13.5" customHeight="1">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c r="AA357" s="88"/>
      <c r="AB357" s="88"/>
      <c r="AC357" s="88"/>
      <c r="AD357" s="88"/>
    </row>
    <row r="358" ht="13.5" customHeight="1">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c r="AA358" s="88"/>
      <c r="AB358" s="88"/>
      <c r="AC358" s="88"/>
      <c r="AD358" s="88"/>
    </row>
    <row r="359" ht="13.5" customHeight="1">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c r="AA359" s="88"/>
      <c r="AB359" s="88"/>
      <c r="AC359" s="88"/>
      <c r="AD359" s="88"/>
    </row>
    <row r="360" ht="13.5" customHeight="1">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c r="AA360" s="88"/>
      <c r="AB360" s="88"/>
      <c r="AC360" s="88"/>
      <c r="AD360" s="88"/>
    </row>
    <row r="361" ht="13.5" customHeight="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c r="AA361" s="88"/>
      <c r="AB361" s="88"/>
      <c r="AC361" s="88"/>
      <c r="AD361" s="88"/>
    </row>
    <row r="362" ht="13.5" customHeight="1">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c r="AA362" s="88"/>
      <c r="AB362" s="88"/>
      <c r="AC362" s="88"/>
      <c r="AD362" s="88"/>
    </row>
    <row r="363" ht="13.5" customHeight="1">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c r="AA363" s="88"/>
      <c r="AB363" s="88"/>
      <c r="AC363" s="88"/>
      <c r="AD363" s="88"/>
    </row>
    <row r="364" ht="13.5" customHeight="1">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c r="AA364" s="88"/>
      <c r="AB364" s="88"/>
      <c r="AC364" s="88"/>
      <c r="AD364" s="88"/>
    </row>
    <row r="365" ht="13.5" customHeight="1">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c r="AA365" s="88"/>
      <c r="AB365" s="88"/>
      <c r="AC365" s="88"/>
      <c r="AD365" s="88"/>
    </row>
    <row r="366" ht="13.5" customHeight="1">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c r="AA366" s="88"/>
      <c r="AB366" s="88"/>
      <c r="AC366" s="88"/>
      <c r="AD366" s="88"/>
    </row>
    <row r="367" ht="13.5" customHeight="1">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c r="AA367" s="88"/>
      <c r="AB367" s="88"/>
      <c r="AC367" s="88"/>
      <c r="AD367" s="88"/>
    </row>
    <row r="368" ht="13.5" customHeight="1">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c r="AA368" s="88"/>
      <c r="AB368" s="88"/>
      <c r="AC368" s="88"/>
      <c r="AD368" s="88"/>
    </row>
    <row r="369" ht="13.5" customHeight="1">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c r="AA369" s="88"/>
      <c r="AB369" s="88"/>
      <c r="AC369" s="88"/>
      <c r="AD369" s="88"/>
    </row>
    <row r="370" ht="13.5" customHeight="1">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c r="AA370" s="88"/>
      <c r="AB370" s="88"/>
      <c r="AC370" s="88"/>
      <c r="AD370" s="88"/>
    </row>
    <row r="371" ht="13.5" customHeight="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c r="AA371" s="88"/>
      <c r="AB371" s="88"/>
      <c r="AC371" s="88"/>
      <c r="AD371" s="88"/>
    </row>
    <row r="372" ht="13.5" customHeight="1">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c r="AA372" s="88"/>
      <c r="AB372" s="88"/>
      <c r="AC372" s="88"/>
      <c r="AD372" s="88"/>
    </row>
    <row r="373" ht="13.5" customHeight="1">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c r="AA373" s="88"/>
      <c r="AB373" s="88"/>
      <c r="AC373" s="88"/>
      <c r="AD373" s="88"/>
    </row>
    <row r="374" ht="13.5" customHeight="1">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c r="AA374" s="88"/>
      <c r="AB374" s="88"/>
      <c r="AC374" s="88"/>
      <c r="AD374" s="88"/>
    </row>
    <row r="375" ht="13.5" customHeight="1">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c r="AA375" s="88"/>
      <c r="AB375" s="88"/>
      <c r="AC375" s="88"/>
      <c r="AD375" s="88"/>
    </row>
    <row r="376" ht="13.5" customHeight="1">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c r="AA376" s="88"/>
      <c r="AB376" s="88"/>
      <c r="AC376" s="88"/>
      <c r="AD376" s="88"/>
    </row>
    <row r="377" ht="13.5" customHeight="1">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c r="AA377" s="88"/>
      <c r="AB377" s="88"/>
      <c r="AC377" s="88"/>
      <c r="AD377" s="88"/>
    </row>
    <row r="378" ht="13.5" customHeight="1">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c r="AA378" s="88"/>
      <c r="AB378" s="88"/>
      <c r="AC378" s="88"/>
      <c r="AD378" s="88"/>
    </row>
    <row r="379" ht="13.5" customHeight="1">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c r="AA379" s="88"/>
      <c r="AB379" s="88"/>
      <c r="AC379" s="88"/>
      <c r="AD379" s="88"/>
    </row>
    <row r="380" ht="13.5" customHeight="1">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c r="AA380" s="88"/>
      <c r="AB380" s="88"/>
      <c r="AC380" s="88"/>
      <c r="AD380" s="88"/>
    </row>
    <row r="381" ht="13.5" customHeight="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c r="AA381" s="88"/>
      <c r="AB381" s="88"/>
      <c r="AC381" s="88"/>
      <c r="AD381" s="88"/>
    </row>
    <row r="382" ht="13.5" customHeight="1">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c r="AA382" s="88"/>
      <c r="AB382" s="88"/>
      <c r="AC382" s="88"/>
      <c r="AD382" s="88"/>
    </row>
    <row r="383" ht="13.5" customHeight="1">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c r="AA383" s="88"/>
      <c r="AB383" s="88"/>
      <c r="AC383" s="88"/>
      <c r="AD383" s="88"/>
    </row>
    <row r="384" ht="13.5" customHeight="1">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c r="AA384" s="88"/>
      <c r="AB384" s="88"/>
      <c r="AC384" s="88"/>
      <c r="AD384" s="88"/>
    </row>
    <row r="385" ht="13.5" customHeight="1">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c r="AA385" s="88"/>
      <c r="AB385" s="88"/>
      <c r="AC385" s="88"/>
      <c r="AD385" s="88"/>
    </row>
    <row r="386" ht="13.5" customHeight="1">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c r="AA386" s="88"/>
      <c r="AB386" s="88"/>
      <c r="AC386" s="88"/>
      <c r="AD386" s="88"/>
    </row>
    <row r="387" ht="13.5" customHeight="1">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c r="AA387" s="88"/>
      <c r="AB387" s="88"/>
      <c r="AC387" s="88"/>
      <c r="AD387" s="88"/>
    </row>
    <row r="388" ht="13.5" customHeight="1">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c r="AA388" s="88"/>
      <c r="AB388" s="88"/>
      <c r="AC388" s="88"/>
      <c r="AD388" s="88"/>
    </row>
    <row r="389" ht="13.5" customHeight="1">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c r="AA389" s="88"/>
      <c r="AB389" s="88"/>
      <c r="AC389" s="88"/>
      <c r="AD389" s="88"/>
    </row>
    <row r="390" ht="13.5" customHeight="1">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c r="AA390" s="88"/>
      <c r="AB390" s="88"/>
      <c r="AC390" s="88"/>
      <c r="AD390" s="88"/>
    </row>
    <row r="391" ht="13.5" customHeight="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c r="AA391" s="88"/>
      <c r="AB391" s="88"/>
      <c r="AC391" s="88"/>
      <c r="AD391" s="88"/>
    </row>
    <row r="392" ht="13.5" customHeight="1">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c r="AA392" s="88"/>
      <c r="AB392" s="88"/>
      <c r="AC392" s="88"/>
      <c r="AD392" s="88"/>
    </row>
    <row r="393" ht="13.5" customHeight="1">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c r="AA393" s="88"/>
      <c r="AB393" s="88"/>
      <c r="AC393" s="88"/>
      <c r="AD393" s="88"/>
    </row>
    <row r="394" ht="13.5" customHeight="1">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c r="AA394" s="88"/>
      <c r="AB394" s="88"/>
      <c r="AC394" s="88"/>
      <c r="AD394" s="88"/>
    </row>
    <row r="395" ht="13.5" customHeight="1">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c r="AA395" s="88"/>
      <c r="AB395" s="88"/>
      <c r="AC395" s="88"/>
      <c r="AD395" s="88"/>
    </row>
    <row r="396" ht="13.5" customHeight="1">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c r="AA396" s="88"/>
      <c r="AB396" s="88"/>
      <c r="AC396" s="88"/>
      <c r="AD396" s="88"/>
    </row>
    <row r="397" ht="13.5" customHeight="1">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c r="AB397" s="88"/>
      <c r="AC397" s="88"/>
      <c r="AD397" s="88"/>
    </row>
    <row r="398" ht="13.5" customHeight="1">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c r="AA398" s="88"/>
      <c r="AB398" s="88"/>
      <c r="AC398" s="88"/>
      <c r="AD398" s="88"/>
    </row>
    <row r="399" ht="13.5" customHeight="1">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c r="AA399" s="88"/>
      <c r="AB399" s="88"/>
      <c r="AC399" s="88"/>
      <c r="AD399" s="88"/>
    </row>
    <row r="400" ht="13.5" customHeight="1">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c r="AA400" s="88"/>
      <c r="AB400" s="88"/>
      <c r="AC400" s="88"/>
      <c r="AD400" s="88"/>
    </row>
    <row r="401" ht="13.5" customHeight="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c r="AA401" s="88"/>
      <c r="AB401" s="88"/>
      <c r="AC401" s="88"/>
      <c r="AD401" s="88"/>
    </row>
    <row r="402" ht="13.5" customHeight="1">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c r="AA402" s="88"/>
      <c r="AB402" s="88"/>
      <c r="AC402" s="88"/>
      <c r="AD402" s="88"/>
    </row>
    <row r="403" ht="13.5" customHeight="1">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c r="AA403" s="88"/>
      <c r="AB403" s="88"/>
      <c r="AC403" s="88"/>
      <c r="AD403" s="88"/>
    </row>
    <row r="404" ht="13.5" customHeight="1">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c r="AA404" s="88"/>
      <c r="AB404" s="88"/>
      <c r="AC404" s="88"/>
      <c r="AD404" s="88"/>
    </row>
    <row r="405" ht="13.5" customHeight="1">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c r="AA405" s="88"/>
      <c r="AB405" s="88"/>
      <c r="AC405" s="88"/>
      <c r="AD405" s="88"/>
    </row>
    <row r="406" ht="13.5" customHeight="1">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c r="AA406" s="88"/>
      <c r="AB406" s="88"/>
      <c r="AC406" s="88"/>
      <c r="AD406" s="88"/>
    </row>
    <row r="407" ht="13.5" customHeight="1">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c r="AA407" s="88"/>
      <c r="AB407" s="88"/>
      <c r="AC407" s="88"/>
      <c r="AD407" s="88"/>
    </row>
    <row r="408" ht="13.5" customHeight="1">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c r="AA408" s="88"/>
      <c r="AB408" s="88"/>
      <c r="AC408" s="88"/>
      <c r="AD408" s="88"/>
    </row>
    <row r="409" ht="13.5" customHeight="1">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c r="AA409" s="88"/>
      <c r="AB409" s="88"/>
      <c r="AC409" s="88"/>
      <c r="AD409" s="88"/>
    </row>
    <row r="410" ht="13.5" customHeight="1">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c r="AA410" s="88"/>
      <c r="AB410" s="88"/>
      <c r="AC410" s="88"/>
      <c r="AD410" s="88"/>
    </row>
    <row r="411" ht="13.5" customHeight="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c r="AA411" s="88"/>
      <c r="AB411" s="88"/>
      <c r="AC411" s="88"/>
      <c r="AD411" s="88"/>
    </row>
    <row r="412" ht="13.5" customHeight="1">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c r="AA412" s="88"/>
      <c r="AB412" s="88"/>
      <c r="AC412" s="88"/>
      <c r="AD412" s="88"/>
    </row>
    <row r="413" ht="13.5" customHeight="1">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c r="AA413" s="88"/>
      <c r="AB413" s="88"/>
      <c r="AC413" s="88"/>
      <c r="AD413" s="88"/>
    </row>
    <row r="414" ht="13.5" customHeight="1">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c r="AA414" s="88"/>
      <c r="AB414" s="88"/>
      <c r="AC414" s="88"/>
      <c r="AD414" s="88"/>
    </row>
    <row r="415" ht="13.5" customHeight="1">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c r="AA415" s="88"/>
      <c r="AB415" s="88"/>
      <c r="AC415" s="88"/>
      <c r="AD415" s="88"/>
    </row>
    <row r="416" ht="13.5" customHeight="1">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c r="AA416" s="88"/>
      <c r="AB416" s="88"/>
      <c r="AC416" s="88"/>
      <c r="AD416" s="88"/>
    </row>
    <row r="417" ht="13.5" customHeight="1">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c r="AA417" s="88"/>
      <c r="AB417" s="88"/>
      <c r="AC417" s="88"/>
      <c r="AD417" s="88"/>
    </row>
    <row r="418" ht="13.5" customHeight="1">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c r="AA418" s="88"/>
      <c r="AB418" s="88"/>
      <c r="AC418" s="88"/>
      <c r="AD418" s="88"/>
    </row>
    <row r="419" ht="13.5" customHeight="1">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c r="AA419" s="88"/>
      <c r="AB419" s="88"/>
      <c r="AC419" s="88"/>
      <c r="AD419" s="88"/>
    </row>
    <row r="420" ht="13.5" customHeight="1">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c r="AA420" s="88"/>
      <c r="AB420" s="88"/>
      <c r="AC420" s="88"/>
      <c r="AD420" s="88"/>
    </row>
    <row r="421" ht="13.5" customHeight="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c r="AA421" s="88"/>
      <c r="AB421" s="88"/>
      <c r="AC421" s="88"/>
      <c r="AD421" s="88"/>
    </row>
    <row r="422" ht="13.5" customHeight="1">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c r="AA422" s="88"/>
      <c r="AB422" s="88"/>
      <c r="AC422" s="88"/>
      <c r="AD422" s="88"/>
    </row>
    <row r="423" ht="13.5" customHeight="1">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c r="AA423" s="88"/>
      <c r="AB423" s="88"/>
      <c r="AC423" s="88"/>
      <c r="AD423" s="88"/>
    </row>
    <row r="424" ht="13.5" customHeight="1">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c r="AA424" s="88"/>
      <c r="AB424" s="88"/>
      <c r="AC424" s="88"/>
      <c r="AD424" s="88"/>
    </row>
    <row r="425" ht="13.5" customHeight="1">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c r="AA425" s="88"/>
      <c r="AB425" s="88"/>
      <c r="AC425" s="88"/>
      <c r="AD425" s="88"/>
    </row>
    <row r="426" ht="13.5" customHeight="1">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c r="AA426" s="88"/>
      <c r="AB426" s="88"/>
      <c r="AC426" s="88"/>
      <c r="AD426" s="88"/>
    </row>
    <row r="427" ht="13.5" customHeight="1">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c r="AA427" s="88"/>
      <c r="AB427" s="88"/>
      <c r="AC427" s="88"/>
      <c r="AD427" s="88"/>
    </row>
    <row r="428" ht="13.5" customHeight="1">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c r="AA428" s="88"/>
      <c r="AB428" s="88"/>
      <c r="AC428" s="88"/>
      <c r="AD428" s="88"/>
    </row>
    <row r="429" ht="13.5" customHeight="1">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c r="AB429" s="88"/>
      <c r="AC429" s="88"/>
      <c r="AD429" s="88"/>
    </row>
    <row r="430" ht="13.5" customHeight="1">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c r="AA430" s="88"/>
      <c r="AB430" s="88"/>
      <c r="AC430" s="88"/>
      <c r="AD430" s="88"/>
    </row>
    <row r="431" ht="13.5" customHeight="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c r="AA431" s="88"/>
      <c r="AB431" s="88"/>
      <c r="AC431" s="88"/>
      <c r="AD431" s="88"/>
    </row>
    <row r="432" ht="13.5" customHeight="1">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c r="AA432" s="88"/>
      <c r="AB432" s="88"/>
      <c r="AC432" s="88"/>
      <c r="AD432" s="88"/>
    </row>
    <row r="433" ht="13.5" customHeight="1">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c r="AA433" s="88"/>
      <c r="AB433" s="88"/>
      <c r="AC433" s="88"/>
      <c r="AD433" s="88"/>
    </row>
    <row r="434" ht="13.5" customHeight="1">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c r="AA434" s="88"/>
      <c r="AB434" s="88"/>
      <c r="AC434" s="88"/>
      <c r="AD434" s="88"/>
    </row>
    <row r="435" ht="13.5" customHeight="1">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c r="AA435" s="88"/>
      <c r="AB435" s="88"/>
      <c r="AC435" s="88"/>
      <c r="AD435" s="88"/>
    </row>
    <row r="436" ht="13.5" customHeight="1">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c r="AA436" s="88"/>
      <c r="AB436" s="88"/>
      <c r="AC436" s="88"/>
      <c r="AD436" s="88"/>
    </row>
    <row r="437" ht="13.5" customHeight="1">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c r="AA437" s="88"/>
      <c r="AB437" s="88"/>
      <c r="AC437" s="88"/>
      <c r="AD437" s="88"/>
    </row>
    <row r="438" ht="13.5" customHeight="1">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c r="AA438" s="88"/>
      <c r="AB438" s="88"/>
      <c r="AC438" s="88"/>
      <c r="AD438" s="88"/>
    </row>
    <row r="439" ht="13.5" customHeight="1">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c r="AA439" s="88"/>
      <c r="AB439" s="88"/>
      <c r="AC439" s="88"/>
      <c r="AD439" s="88"/>
    </row>
    <row r="440" ht="13.5" customHeight="1">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c r="AA440" s="88"/>
      <c r="AB440" s="88"/>
      <c r="AC440" s="88"/>
      <c r="AD440" s="88"/>
    </row>
    <row r="441" ht="13.5" customHeight="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c r="AA441" s="88"/>
      <c r="AB441" s="88"/>
      <c r="AC441" s="88"/>
      <c r="AD441" s="88"/>
    </row>
    <row r="442" ht="13.5" customHeight="1">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c r="AA442" s="88"/>
      <c r="AB442" s="88"/>
      <c r="AC442" s="88"/>
      <c r="AD442" s="88"/>
    </row>
    <row r="443" ht="13.5" customHeight="1">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c r="AA443" s="88"/>
      <c r="AB443" s="88"/>
      <c r="AC443" s="88"/>
      <c r="AD443" s="88"/>
    </row>
    <row r="444" ht="13.5" customHeight="1">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c r="AA444" s="88"/>
      <c r="AB444" s="88"/>
      <c r="AC444" s="88"/>
      <c r="AD444" s="88"/>
    </row>
    <row r="445" ht="13.5" customHeight="1">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c r="AA445" s="88"/>
      <c r="AB445" s="88"/>
      <c r="AC445" s="88"/>
      <c r="AD445" s="88"/>
    </row>
    <row r="446" ht="13.5" customHeight="1">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c r="AA446" s="88"/>
      <c r="AB446" s="88"/>
      <c r="AC446" s="88"/>
      <c r="AD446" s="88"/>
    </row>
    <row r="447" ht="13.5" customHeight="1">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c r="AA447" s="88"/>
      <c r="AB447" s="88"/>
      <c r="AC447" s="88"/>
      <c r="AD447" s="88"/>
    </row>
    <row r="448" ht="13.5" customHeight="1">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c r="AA448" s="88"/>
      <c r="AB448" s="88"/>
      <c r="AC448" s="88"/>
      <c r="AD448" s="88"/>
    </row>
    <row r="449" ht="13.5" customHeight="1">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c r="AA449" s="88"/>
      <c r="AB449" s="88"/>
      <c r="AC449" s="88"/>
      <c r="AD449" s="88"/>
    </row>
    <row r="450" ht="13.5" customHeight="1">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c r="AA450" s="88"/>
      <c r="AB450" s="88"/>
      <c r="AC450" s="88"/>
      <c r="AD450" s="88"/>
    </row>
    <row r="451" ht="13.5" customHeight="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c r="AA451" s="88"/>
      <c r="AB451" s="88"/>
      <c r="AC451" s="88"/>
      <c r="AD451" s="88"/>
    </row>
    <row r="452" ht="13.5" customHeight="1">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c r="AA452" s="88"/>
      <c r="AB452" s="88"/>
      <c r="AC452" s="88"/>
      <c r="AD452" s="88"/>
    </row>
    <row r="453" ht="13.5" customHeight="1">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c r="AA453" s="88"/>
      <c r="AB453" s="88"/>
      <c r="AC453" s="88"/>
      <c r="AD453" s="88"/>
    </row>
    <row r="454" ht="13.5" customHeight="1">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c r="AA454" s="88"/>
      <c r="AB454" s="88"/>
      <c r="AC454" s="88"/>
      <c r="AD454" s="88"/>
    </row>
    <row r="455" ht="13.5" customHeight="1">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c r="AA455" s="88"/>
      <c r="AB455" s="88"/>
      <c r="AC455" s="88"/>
      <c r="AD455" s="88"/>
    </row>
    <row r="456" ht="13.5" customHeight="1">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c r="AA456" s="88"/>
      <c r="AB456" s="88"/>
      <c r="AC456" s="88"/>
      <c r="AD456" s="88"/>
    </row>
    <row r="457" ht="13.5" customHeight="1">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c r="AA457" s="88"/>
      <c r="AB457" s="88"/>
      <c r="AC457" s="88"/>
      <c r="AD457" s="88"/>
    </row>
    <row r="458" ht="13.5" customHeight="1">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c r="AA458" s="88"/>
      <c r="AB458" s="88"/>
      <c r="AC458" s="88"/>
      <c r="AD458" s="88"/>
    </row>
    <row r="459" ht="13.5" customHeight="1">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c r="AA459" s="88"/>
      <c r="AB459" s="88"/>
      <c r="AC459" s="88"/>
      <c r="AD459" s="88"/>
    </row>
    <row r="460" ht="13.5" customHeight="1">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c r="AA460" s="88"/>
      <c r="AB460" s="88"/>
      <c r="AC460" s="88"/>
      <c r="AD460" s="88"/>
    </row>
    <row r="461" ht="13.5" customHeight="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c r="AA461" s="88"/>
      <c r="AB461" s="88"/>
      <c r="AC461" s="88"/>
      <c r="AD461" s="88"/>
    </row>
    <row r="462" ht="13.5" customHeight="1">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c r="AA462" s="88"/>
      <c r="AB462" s="88"/>
      <c r="AC462" s="88"/>
      <c r="AD462" s="88"/>
    </row>
    <row r="463" ht="13.5" customHeight="1">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c r="AA463" s="88"/>
      <c r="AB463" s="88"/>
      <c r="AC463" s="88"/>
      <c r="AD463" s="88"/>
    </row>
    <row r="464" ht="13.5" customHeight="1">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c r="AA464" s="88"/>
      <c r="AB464" s="88"/>
      <c r="AC464" s="88"/>
      <c r="AD464" s="88"/>
    </row>
    <row r="465" ht="13.5" customHeight="1">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c r="AA465" s="88"/>
      <c r="AB465" s="88"/>
      <c r="AC465" s="88"/>
      <c r="AD465" s="88"/>
    </row>
    <row r="466" ht="13.5" customHeight="1">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c r="AA466" s="88"/>
      <c r="AB466" s="88"/>
      <c r="AC466" s="88"/>
      <c r="AD466" s="88"/>
    </row>
    <row r="467" ht="13.5" customHeight="1">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c r="AA467" s="88"/>
      <c r="AB467" s="88"/>
      <c r="AC467" s="88"/>
      <c r="AD467" s="88"/>
    </row>
    <row r="468" ht="13.5" customHeight="1">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c r="AA468" s="88"/>
      <c r="AB468" s="88"/>
      <c r="AC468" s="88"/>
      <c r="AD468" s="88"/>
    </row>
    <row r="469" ht="13.5" customHeight="1">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c r="AA469" s="88"/>
      <c r="AB469" s="88"/>
      <c r="AC469" s="88"/>
      <c r="AD469" s="88"/>
    </row>
    <row r="470" ht="13.5" customHeight="1">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c r="AA470" s="88"/>
      <c r="AB470" s="88"/>
      <c r="AC470" s="88"/>
      <c r="AD470" s="88"/>
    </row>
    <row r="471" ht="13.5" customHeight="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c r="AA471" s="88"/>
      <c r="AB471" s="88"/>
      <c r="AC471" s="88"/>
      <c r="AD471" s="88"/>
    </row>
    <row r="472" ht="13.5" customHeight="1">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c r="AA472" s="88"/>
      <c r="AB472" s="88"/>
      <c r="AC472" s="88"/>
      <c r="AD472" s="88"/>
    </row>
    <row r="473" ht="13.5" customHeight="1">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c r="AA473" s="88"/>
      <c r="AB473" s="88"/>
      <c r="AC473" s="88"/>
      <c r="AD473" s="88"/>
    </row>
    <row r="474" ht="13.5" customHeight="1">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c r="AA474" s="88"/>
      <c r="AB474" s="88"/>
      <c r="AC474" s="88"/>
      <c r="AD474" s="88"/>
    </row>
    <row r="475" ht="13.5" customHeight="1">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c r="AA475" s="88"/>
      <c r="AB475" s="88"/>
      <c r="AC475" s="88"/>
      <c r="AD475" s="88"/>
    </row>
    <row r="476" ht="13.5" customHeight="1">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c r="AA476" s="88"/>
      <c r="AB476" s="88"/>
      <c r="AC476" s="88"/>
      <c r="AD476" s="88"/>
    </row>
    <row r="477" ht="13.5" customHeight="1">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c r="AA477" s="88"/>
      <c r="AB477" s="88"/>
      <c r="AC477" s="88"/>
      <c r="AD477" s="88"/>
    </row>
    <row r="478" ht="13.5" customHeight="1">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c r="AA478" s="88"/>
      <c r="AB478" s="88"/>
      <c r="AC478" s="88"/>
      <c r="AD478" s="88"/>
    </row>
    <row r="479" ht="13.5" customHeight="1">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c r="AA479" s="88"/>
      <c r="AB479" s="88"/>
      <c r="AC479" s="88"/>
      <c r="AD479" s="88"/>
    </row>
    <row r="480" ht="13.5" customHeight="1">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c r="AA480" s="88"/>
      <c r="AB480" s="88"/>
      <c r="AC480" s="88"/>
      <c r="AD480" s="88"/>
    </row>
    <row r="481" ht="13.5" customHeight="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c r="AA481" s="88"/>
      <c r="AB481" s="88"/>
      <c r="AC481" s="88"/>
      <c r="AD481" s="88"/>
    </row>
    <row r="482" ht="13.5" customHeight="1">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c r="AA482" s="88"/>
      <c r="AB482" s="88"/>
      <c r="AC482" s="88"/>
      <c r="AD482" s="88"/>
    </row>
    <row r="483" ht="13.5" customHeight="1">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c r="AA483" s="88"/>
      <c r="AB483" s="88"/>
      <c r="AC483" s="88"/>
      <c r="AD483" s="88"/>
    </row>
    <row r="484" ht="13.5" customHeight="1">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c r="AA484" s="88"/>
      <c r="AB484" s="88"/>
      <c r="AC484" s="88"/>
      <c r="AD484" s="88"/>
    </row>
    <row r="485" ht="13.5" customHeight="1">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c r="AA485" s="88"/>
      <c r="AB485" s="88"/>
      <c r="AC485" s="88"/>
      <c r="AD485" s="88"/>
    </row>
    <row r="486" ht="13.5" customHeight="1">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c r="AA486" s="88"/>
      <c r="AB486" s="88"/>
      <c r="AC486" s="88"/>
      <c r="AD486" s="88"/>
    </row>
    <row r="487" ht="13.5" customHeight="1">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c r="AA487" s="88"/>
      <c r="AB487" s="88"/>
      <c r="AC487" s="88"/>
      <c r="AD487" s="88"/>
    </row>
    <row r="488" ht="13.5" customHeight="1">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c r="AA488" s="88"/>
      <c r="AB488" s="88"/>
      <c r="AC488" s="88"/>
      <c r="AD488" s="88"/>
    </row>
    <row r="489" ht="13.5" customHeight="1">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c r="AA489" s="88"/>
      <c r="AB489" s="88"/>
      <c r="AC489" s="88"/>
      <c r="AD489" s="88"/>
    </row>
    <row r="490" ht="13.5" customHeight="1">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c r="AA490" s="88"/>
      <c r="AB490" s="88"/>
      <c r="AC490" s="88"/>
      <c r="AD490" s="88"/>
    </row>
    <row r="491" ht="13.5" customHeight="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c r="AA491" s="88"/>
      <c r="AB491" s="88"/>
      <c r="AC491" s="88"/>
      <c r="AD491" s="88"/>
    </row>
    <row r="492" ht="13.5" customHeight="1">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c r="AA492" s="88"/>
      <c r="AB492" s="88"/>
      <c r="AC492" s="88"/>
      <c r="AD492" s="88"/>
    </row>
    <row r="493" ht="13.5" customHeight="1">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c r="AA493" s="88"/>
      <c r="AB493" s="88"/>
      <c r="AC493" s="88"/>
      <c r="AD493" s="88"/>
    </row>
    <row r="494" ht="13.5" customHeight="1">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c r="AA494" s="88"/>
      <c r="AB494" s="88"/>
      <c r="AC494" s="88"/>
      <c r="AD494" s="88"/>
    </row>
    <row r="495" ht="13.5" customHeight="1">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c r="AA495" s="88"/>
      <c r="AB495" s="88"/>
      <c r="AC495" s="88"/>
      <c r="AD495" s="88"/>
    </row>
    <row r="496" ht="13.5" customHeight="1">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c r="AA496" s="88"/>
      <c r="AB496" s="88"/>
      <c r="AC496" s="88"/>
      <c r="AD496" s="88"/>
    </row>
    <row r="497" ht="13.5" customHeight="1">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c r="AA497" s="88"/>
      <c r="AB497" s="88"/>
      <c r="AC497" s="88"/>
      <c r="AD497" s="88"/>
    </row>
    <row r="498" ht="13.5" customHeight="1">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c r="AA498" s="88"/>
      <c r="AB498" s="88"/>
      <c r="AC498" s="88"/>
      <c r="AD498" s="88"/>
    </row>
    <row r="499" ht="13.5" customHeight="1">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c r="AA499" s="88"/>
      <c r="AB499" s="88"/>
      <c r="AC499" s="88"/>
      <c r="AD499" s="88"/>
    </row>
    <row r="500" ht="13.5" customHeight="1">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c r="AA500" s="88"/>
      <c r="AB500" s="88"/>
      <c r="AC500" s="88"/>
      <c r="AD500" s="88"/>
    </row>
    <row r="501" ht="13.5" customHeight="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c r="AA501" s="88"/>
      <c r="AB501" s="88"/>
      <c r="AC501" s="88"/>
      <c r="AD501" s="88"/>
    </row>
    <row r="502" ht="13.5" customHeight="1">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c r="AA502" s="88"/>
      <c r="AB502" s="88"/>
      <c r="AC502" s="88"/>
      <c r="AD502" s="88"/>
    </row>
    <row r="503" ht="13.5" customHeight="1">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c r="AA503" s="88"/>
      <c r="AB503" s="88"/>
      <c r="AC503" s="88"/>
      <c r="AD503" s="88"/>
    </row>
    <row r="504" ht="13.5" customHeight="1">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c r="AA504" s="88"/>
      <c r="AB504" s="88"/>
      <c r="AC504" s="88"/>
      <c r="AD504" s="88"/>
    </row>
    <row r="505" ht="13.5" customHeight="1">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c r="AA505" s="88"/>
      <c r="AB505" s="88"/>
      <c r="AC505" s="88"/>
      <c r="AD505" s="88"/>
    </row>
    <row r="506" ht="13.5" customHeight="1">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c r="AA506" s="88"/>
      <c r="AB506" s="88"/>
      <c r="AC506" s="88"/>
      <c r="AD506" s="88"/>
    </row>
    <row r="507" ht="13.5" customHeight="1">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c r="AA507" s="88"/>
      <c r="AB507" s="88"/>
      <c r="AC507" s="88"/>
      <c r="AD507" s="88"/>
    </row>
    <row r="508" ht="13.5" customHeight="1">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c r="AA508" s="88"/>
      <c r="AB508" s="88"/>
      <c r="AC508" s="88"/>
      <c r="AD508" s="88"/>
    </row>
    <row r="509" ht="13.5" customHeight="1">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c r="AA509" s="88"/>
      <c r="AB509" s="88"/>
      <c r="AC509" s="88"/>
      <c r="AD509" s="88"/>
    </row>
    <row r="510" ht="13.5" customHeight="1">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c r="AA510" s="88"/>
      <c r="AB510" s="88"/>
      <c r="AC510" s="88"/>
      <c r="AD510" s="88"/>
    </row>
    <row r="511" ht="13.5" customHeight="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c r="AA511" s="88"/>
      <c r="AB511" s="88"/>
      <c r="AC511" s="88"/>
      <c r="AD511" s="88"/>
    </row>
    <row r="512" ht="13.5" customHeight="1">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c r="AA512" s="88"/>
      <c r="AB512" s="88"/>
      <c r="AC512" s="88"/>
      <c r="AD512" s="88"/>
    </row>
    <row r="513" ht="13.5" customHeight="1">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c r="AA513" s="88"/>
      <c r="AB513" s="88"/>
      <c r="AC513" s="88"/>
      <c r="AD513" s="88"/>
    </row>
    <row r="514" ht="13.5" customHeight="1">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c r="AA514" s="88"/>
      <c r="AB514" s="88"/>
      <c r="AC514" s="88"/>
      <c r="AD514" s="88"/>
    </row>
    <row r="515" ht="13.5" customHeight="1">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c r="AA515" s="88"/>
      <c r="AB515" s="88"/>
      <c r="AC515" s="88"/>
      <c r="AD515" s="88"/>
    </row>
    <row r="516" ht="13.5" customHeight="1">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c r="AA516" s="88"/>
      <c r="AB516" s="88"/>
      <c r="AC516" s="88"/>
      <c r="AD516" s="88"/>
    </row>
    <row r="517" ht="13.5" customHeight="1">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c r="AA517" s="88"/>
      <c r="AB517" s="88"/>
      <c r="AC517" s="88"/>
      <c r="AD517" s="88"/>
    </row>
    <row r="518" ht="13.5" customHeight="1">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c r="AA518" s="88"/>
      <c r="AB518" s="88"/>
      <c r="AC518" s="88"/>
      <c r="AD518" s="88"/>
    </row>
    <row r="519" ht="13.5" customHeight="1">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c r="AA519" s="88"/>
      <c r="AB519" s="88"/>
      <c r="AC519" s="88"/>
      <c r="AD519" s="88"/>
    </row>
    <row r="520" ht="13.5" customHeight="1">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c r="AA520" s="88"/>
      <c r="AB520" s="88"/>
      <c r="AC520" s="88"/>
      <c r="AD520" s="88"/>
    </row>
    <row r="521" ht="13.5" customHeight="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c r="AA521" s="88"/>
      <c r="AB521" s="88"/>
      <c r="AC521" s="88"/>
      <c r="AD521" s="88"/>
    </row>
    <row r="522" ht="13.5" customHeight="1">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c r="AA522" s="88"/>
      <c r="AB522" s="88"/>
      <c r="AC522" s="88"/>
      <c r="AD522" s="88"/>
    </row>
    <row r="523" ht="13.5" customHeight="1">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c r="AA523" s="88"/>
      <c r="AB523" s="88"/>
      <c r="AC523" s="88"/>
      <c r="AD523" s="88"/>
    </row>
    <row r="524" ht="13.5" customHeight="1">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c r="AA524" s="88"/>
      <c r="AB524" s="88"/>
      <c r="AC524" s="88"/>
      <c r="AD524" s="88"/>
    </row>
    <row r="525" ht="13.5" customHeight="1">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c r="AA525" s="88"/>
      <c r="AB525" s="88"/>
      <c r="AC525" s="88"/>
      <c r="AD525" s="88"/>
    </row>
    <row r="526" ht="13.5" customHeight="1">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c r="AA526" s="88"/>
      <c r="AB526" s="88"/>
      <c r="AC526" s="88"/>
      <c r="AD526" s="88"/>
    </row>
    <row r="527" ht="13.5" customHeight="1">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c r="AA527" s="88"/>
      <c r="AB527" s="88"/>
      <c r="AC527" s="88"/>
      <c r="AD527" s="88"/>
    </row>
    <row r="528" ht="13.5" customHeight="1">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c r="AA528" s="88"/>
      <c r="AB528" s="88"/>
      <c r="AC528" s="88"/>
      <c r="AD528" s="88"/>
    </row>
    <row r="529" ht="13.5" customHeight="1">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c r="AA529" s="88"/>
      <c r="AB529" s="88"/>
      <c r="AC529" s="88"/>
      <c r="AD529" s="88"/>
    </row>
    <row r="530" ht="13.5" customHeight="1">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c r="AA530" s="88"/>
      <c r="AB530" s="88"/>
      <c r="AC530" s="88"/>
      <c r="AD530" s="88"/>
    </row>
    <row r="531" ht="13.5" customHeight="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c r="AA531" s="88"/>
      <c r="AB531" s="88"/>
      <c r="AC531" s="88"/>
      <c r="AD531" s="88"/>
    </row>
    <row r="532" ht="13.5" customHeight="1">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c r="AA532" s="88"/>
      <c r="AB532" s="88"/>
      <c r="AC532" s="88"/>
      <c r="AD532" s="88"/>
    </row>
    <row r="533" ht="13.5" customHeight="1">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c r="AA533" s="88"/>
      <c r="AB533" s="88"/>
      <c r="AC533" s="88"/>
      <c r="AD533" s="88"/>
    </row>
    <row r="534" ht="13.5" customHeight="1">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c r="AA534" s="88"/>
      <c r="AB534" s="88"/>
      <c r="AC534" s="88"/>
      <c r="AD534" s="88"/>
    </row>
    <row r="535" ht="13.5" customHeight="1">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c r="AA535" s="88"/>
      <c r="AB535" s="88"/>
      <c r="AC535" s="88"/>
      <c r="AD535" s="88"/>
    </row>
    <row r="536" ht="13.5" customHeight="1">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c r="AA536" s="88"/>
      <c r="AB536" s="88"/>
      <c r="AC536" s="88"/>
      <c r="AD536" s="88"/>
    </row>
    <row r="537" ht="13.5" customHeight="1">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c r="AA537" s="88"/>
      <c r="AB537" s="88"/>
      <c r="AC537" s="88"/>
      <c r="AD537" s="88"/>
    </row>
    <row r="538" ht="13.5" customHeight="1">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c r="AA538" s="88"/>
      <c r="AB538" s="88"/>
      <c r="AC538" s="88"/>
      <c r="AD538" s="88"/>
    </row>
    <row r="539" ht="13.5" customHeight="1">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c r="AA539" s="88"/>
      <c r="AB539" s="88"/>
      <c r="AC539" s="88"/>
      <c r="AD539" s="88"/>
    </row>
    <row r="540" ht="13.5" customHeight="1">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c r="AA540" s="88"/>
      <c r="AB540" s="88"/>
      <c r="AC540" s="88"/>
      <c r="AD540" s="88"/>
    </row>
    <row r="541" ht="13.5" customHeight="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c r="AA541" s="88"/>
      <c r="AB541" s="88"/>
      <c r="AC541" s="88"/>
      <c r="AD541" s="88"/>
    </row>
    <row r="542" ht="13.5" customHeight="1">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c r="AA542" s="88"/>
      <c r="AB542" s="88"/>
      <c r="AC542" s="88"/>
      <c r="AD542" s="88"/>
    </row>
    <row r="543" ht="13.5" customHeight="1">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c r="AA543" s="88"/>
      <c r="AB543" s="88"/>
      <c r="AC543" s="88"/>
      <c r="AD543" s="88"/>
    </row>
    <row r="544" ht="13.5" customHeight="1">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c r="AA544" s="88"/>
      <c r="AB544" s="88"/>
      <c r="AC544" s="88"/>
      <c r="AD544" s="88"/>
    </row>
    <row r="545" ht="13.5" customHeight="1">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c r="AA545" s="88"/>
      <c r="AB545" s="88"/>
      <c r="AC545" s="88"/>
      <c r="AD545" s="88"/>
    </row>
    <row r="546" ht="13.5" customHeight="1">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c r="AA546" s="88"/>
      <c r="AB546" s="88"/>
      <c r="AC546" s="88"/>
      <c r="AD546" s="88"/>
    </row>
    <row r="547" ht="13.5" customHeight="1">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c r="AA547" s="88"/>
      <c r="AB547" s="88"/>
      <c r="AC547" s="88"/>
      <c r="AD547" s="88"/>
    </row>
    <row r="548" ht="13.5" customHeight="1">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c r="AA548" s="88"/>
      <c r="AB548" s="88"/>
      <c r="AC548" s="88"/>
      <c r="AD548" s="88"/>
    </row>
    <row r="549" ht="13.5" customHeight="1">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c r="AA549" s="88"/>
      <c r="AB549" s="88"/>
      <c r="AC549" s="88"/>
      <c r="AD549" s="88"/>
    </row>
    <row r="550" ht="13.5" customHeight="1">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c r="AA550" s="88"/>
      <c r="AB550" s="88"/>
      <c r="AC550" s="88"/>
      <c r="AD550" s="88"/>
    </row>
    <row r="551" ht="13.5" customHeight="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c r="AA551" s="88"/>
      <c r="AB551" s="88"/>
      <c r="AC551" s="88"/>
      <c r="AD551" s="88"/>
    </row>
    <row r="552" ht="13.5" customHeight="1">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c r="AA552" s="88"/>
      <c r="AB552" s="88"/>
      <c r="AC552" s="88"/>
      <c r="AD552" s="88"/>
    </row>
    <row r="553" ht="13.5" customHeight="1">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c r="AA553" s="88"/>
      <c r="AB553" s="88"/>
      <c r="AC553" s="88"/>
      <c r="AD553" s="88"/>
    </row>
    <row r="554" ht="13.5" customHeight="1">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c r="AA554" s="88"/>
      <c r="AB554" s="88"/>
      <c r="AC554" s="88"/>
      <c r="AD554" s="88"/>
    </row>
    <row r="555" ht="13.5" customHeight="1">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c r="AA555" s="88"/>
      <c r="AB555" s="88"/>
      <c r="AC555" s="88"/>
      <c r="AD555" s="88"/>
    </row>
    <row r="556" ht="13.5" customHeight="1">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c r="AA556" s="88"/>
      <c r="AB556" s="88"/>
      <c r="AC556" s="88"/>
      <c r="AD556" s="88"/>
    </row>
    <row r="557" ht="13.5" customHeight="1">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c r="AA557" s="88"/>
      <c r="AB557" s="88"/>
      <c r="AC557" s="88"/>
      <c r="AD557" s="88"/>
    </row>
    <row r="558" ht="13.5" customHeight="1">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c r="AA558" s="88"/>
      <c r="AB558" s="88"/>
      <c r="AC558" s="88"/>
      <c r="AD558" s="88"/>
    </row>
    <row r="559" ht="13.5" customHeight="1">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c r="AA559" s="88"/>
      <c r="AB559" s="88"/>
      <c r="AC559" s="88"/>
      <c r="AD559" s="88"/>
    </row>
    <row r="560" ht="13.5" customHeight="1">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c r="AA560" s="88"/>
      <c r="AB560" s="88"/>
      <c r="AC560" s="88"/>
      <c r="AD560" s="88"/>
    </row>
    <row r="561" ht="13.5" customHeight="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c r="AA561" s="88"/>
      <c r="AB561" s="88"/>
      <c r="AC561" s="88"/>
      <c r="AD561" s="88"/>
    </row>
    <row r="562" ht="13.5" customHeight="1">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c r="AA562" s="88"/>
      <c r="AB562" s="88"/>
      <c r="AC562" s="88"/>
      <c r="AD562" s="88"/>
    </row>
    <row r="563" ht="13.5" customHeight="1">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c r="AA563" s="88"/>
      <c r="AB563" s="88"/>
      <c r="AC563" s="88"/>
      <c r="AD563" s="88"/>
    </row>
    <row r="564" ht="13.5" customHeight="1">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c r="AA564" s="88"/>
      <c r="AB564" s="88"/>
      <c r="AC564" s="88"/>
      <c r="AD564" s="88"/>
    </row>
    <row r="565" ht="13.5" customHeight="1">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c r="AA565" s="88"/>
      <c r="AB565" s="88"/>
      <c r="AC565" s="88"/>
      <c r="AD565" s="88"/>
    </row>
    <row r="566" ht="13.5" customHeight="1">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c r="AA566" s="88"/>
      <c r="AB566" s="88"/>
      <c r="AC566" s="88"/>
      <c r="AD566" s="88"/>
    </row>
    <row r="567" ht="13.5" customHeight="1">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c r="AA567" s="88"/>
      <c r="AB567" s="88"/>
      <c r="AC567" s="88"/>
      <c r="AD567" s="88"/>
    </row>
    <row r="568" ht="13.5" customHeight="1">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c r="AA568" s="88"/>
      <c r="AB568" s="88"/>
      <c r="AC568" s="88"/>
      <c r="AD568" s="88"/>
    </row>
    <row r="569" ht="13.5" customHeight="1">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c r="AA569" s="88"/>
      <c r="AB569" s="88"/>
      <c r="AC569" s="88"/>
      <c r="AD569" s="88"/>
    </row>
    <row r="570" ht="13.5" customHeight="1">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c r="AA570" s="88"/>
      <c r="AB570" s="88"/>
      <c r="AC570" s="88"/>
      <c r="AD570" s="88"/>
    </row>
    <row r="571" ht="13.5" customHeight="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c r="AA571" s="88"/>
      <c r="AB571" s="88"/>
      <c r="AC571" s="88"/>
      <c r="AD571" s="88"/>
    </row>
    <row r="572" ht="13.5" customHeight="1">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c r="AA572" s="88"/>
      <c r="AB572" s="88"/>
      <c r="AC572" s="88"/>
      <c r="AD572" s="88"/>
    </row>
    <row r="573" ht="13.5" customHeight="1">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c r="AA573" s="88"/>
      <c r="AB573" s="88"/>
      <c r="AC573" s="88"/>
      <c r="AD573" s="88"/>
    </row>
    <row r="574" ht="13.5" customHeight="1">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c r="AA574" s="88"/>
      <c r="AB574" s="88"/>
      <c r="AC574" s="88"/>
      <c r="AD574" s="88"/>
    </row>
    <row r="575" ht="13.5" customHeight="1">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c r="AA575" s="88"/>
      <c r="AB575" s="88"/>
      <c r="AC575" s="88"/>
      <c r="AD575" s="88"/>
    </row>
    <row r="576" ht="13.5" customHeight="1">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c r="AA576" s="88"/>
      <c r="AB576" s="88"/>
      <c r="AC576" s="88"/>
      <c r="AD576" s="88"/>
    </row>
    <row r="577" ht="13.5" customHeight="1">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c r="AA577" s="88"/>
      <c r="AB577" s="88"/>
      <c r="AC577" s="88"/>
      <c r="AD577" s="88"/>
    </row>
    <row r="578" ht="13.5" customHeight="1">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c r="AA578" s="88"/>
      <c r="AB578" s="88"/>
      <c r="AC578" s="88"/>
      <c r="AD578" s="88"/>
    </row>
    <row r="579" ht="13.5" customHeight="1">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c r="AA579" s="88"/>
      <c r="AB579" s="88"/>
      <c r="AC579" s="88"/>
      <c r="AD579" s="88"/>
    </row>
    <row r="580" ht="13.5" customHeight="1">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c r="AA580" s="88"/>
      <c r="AB580" s="88"/>
      <c r="AC580" s="88"/>
      <c r="AD580" s="88"/>
    </row>
    <row r="581" ht="13.5" customHeight="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c r="AA581" s="88"/>
      <c r="AB581" s="88"/>
      <c r="AC581" s="88"/>
      <c r="AD581" s="88"/>
    </row>
    <row r="582" ht="13.5" customHeight="1">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c r="AA582" s="88"/>
      <c r="AB582" s="88"/>
      <c r="AC582" s="88"/>
      <c r="AD582" s="88"/>
    </row>
    <row r="583" ht="13.5" customHeight="1">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c r="AA583" s="88"/>
      <c r="AB583" s="88"/>
      <c r="AC583" s="88"/>
      <c r="AD583" s="88"/>
    </row>
    <row r="584" ht="13.5" customHeight="1">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c r="AA584" s="88"/>
      <c r="AB584" s="88"/>
      <c r="AC584" s="88"/>
      <c r="AD584" s="88"/>
    </row>
    <row r="585" ht="13.5" customHeight="1">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c r="AA585" s="88"/>
      <c r="AB585" s="88"/>
      <c r="AC585" s="88"/>
      <c r="AD585" s="88"/>
    </row>
    <row r="586" ht="13.5" customHeight="1">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c r="AA586" s="88"/>
      <c r="AB586" s="88"/>
      <c r="AC586" s="88"/>
      <c r="AD586" s="88"/>
    </row>
    <row r="587" ht="13.5" customHeight="1">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c r="AA587" s="88"/>
      <c r="AB587" s="88"/>
      <c r="AC587" s="88"/>
      <c r="AD587" s="88"/>
    </row>
    <row r="588" ht="13.5" customHeight="1">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c r="AA588" s="88"/>
      <c r="AB588" s="88"/>
      <c r="AC588" s="88"/>
      <c r="AD588" s="88"/>
    </row>
    <row r="589" ht="13.5" customHeight="1">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c r="AA589" s="88"/>
      <c r="AB589" s="88"/>
      <c r="AC589" s="88"/>
      <c r="AD589" s="88"/>
    </row>
    <row r="590" ht="13.5" customHeight="1">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c r="AA590" s="88"/>
      <c r="AB590" s="88"/>
      <c r="AC590" s="88"/>
      <c r="AD590" s="88"/>
    </row>
    <row r="591" ht="13.5" customHeight="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c r="AA591" s="88"/>
      <c r="AB591" s="88"/>
      <c r="AC591" s="88"/>
      <c r="AD591" s="88"/>
    </row>
    <row r="592" ht="13.5" customHeight="1">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c r="AA592" s="88"/>
      <c r="AB592" s="88"/>
      <c r="AC592" s="88"/>
      <c r="AD592" s="88"/>
    </row>
    <row r="593" ht="13.5" customHeight="1">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c r="AA593" s="88"/>
      <c r="AB593" s="88"/>
      <c r="AC593" s="88"/>
      <c r="AD593" s="88"/>
    </row>
    <row r="594" ht="13.5" customHeight="1">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c r="AA594" s="88"/>
      <c r="AB594" s="88"/>
      <c r="AC594" s="88"/>
      <c r="AD594" s="88"/>
    </row>
    <row r="595" ht="13.5" customHeight="1">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c r="AA595" s="88"/>
      <c r="AB595" s="88"/>
      <c r="AC595" s="88"/>
      <c r="AD595" s="88"/>
    </row>
    <row r="596" ht="13.5" customHeight="1">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c r="AA596" s="88"/>
      <c r="AB596" s="88"/>
      <c r="AC596" s="88"/>
      <c r="AD596" s="88"/>
    </row>
    <row r="597" ht="13.5" customHeight="1">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c r="AA597" s="88"/>
      <c r="AB597" s="88"/>
      <c r="AC597" s="88"/>
      <c r="AD597" s="88"/>
    </row>
    <row r="598" ht="13.5" customHeight="1">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c r="AA598" s="88"/>
      <c r="AB598" s="88"/>
      <c r="AC598" s="88"/>
      <c r="AD598" s="88"/>
    </row>
    <row r="599" ht="13.5" customHeight="1">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c r="AA599" s="88"/>
      <c r="AB599" s="88"/>
      <c r="AC599" s="88"/>
      <c r="AD599" s="88"/>
    </row>
    <row r="600" ht="13.5" customHeight="1">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c r="AA600" s="88"/>
      <c r="AB600" s="88"/>
      <c r="AC600" s="88"/>
      <c r="AD600" s="88"/>
    </row>
    <row r="601" ht="13.5" customHeight="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c r="AA601" s="88"/>
      <c r="AB601" s="88"/>
      <c r="AC601" s="88"/>
      <c r="AD601" s="88"/>
    </row>
    <row r="602" ht="13.5" customHeight="1">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c r="AA602" s="88"/>
      <c r="AB602" s="88"/>
      <c r="AC602" s="88"/>
      <c r="AD602" s="88"/>
    </row>
    <row r="603" ht="13.5" customHeight="1">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c r="AA603" s="88"/>
      <c r="AB603" s="88"/>
      <c r="AC603" s="88"/>
      <c r="AD603" s="88"/>
    </row>
    <row r="604" ht="13.5" customHeight="1">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c r="AA604" s="88"/>
      <c r="AB604" s="88"/>
      <c r="AC604" s="88"/>
      <c r="AD604" s="88"/>
    </row>
    <row r="605" ht="13.5" customHeight="1">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c r="AA605" s="88"/>
      <c r="AB605" s="88"/>
      <c r="AC605" s="88"/>
      <c r="AD605" s="88"/>
    </row>
    <row r="606" ht="13.5" customHeight="1">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c r="AA606" s="88"/>
      <c r="AB606" s="88"/>
      <c r="AC606" s="88"/>
      <c r="AD606" s="88"/>
    </row>
    <row r="607" ht="13.5" customHeight="1">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c r="AA607" s="88"/>
      <c r="AB607" s="88"/>
      <c r="AC607" s="88"/>
      <c r="AD607" s="88"/>
    </row>
    <row r="608" ht="13.5" customHeight="1">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c r="AA608" s="88"/>
      <c r="AB608" s="88"/>
      <c r="AC608" s="88"/>
      <c r="AD608" s="88"/>
    </row>
    <row r="609" ht="13.5" customHeight="1">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c r="AA609" s="88"/>
      <c r="AB609" s="88"/>
      <c r="AC609" s="88"/>
      <c r="AD609" s="88"/>
    </row>
    <row r="610" ht="13.5" customHeight="1">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c r="AA610" s="88"/>
      <c r="AB610" s="88"/>
      <c r="AC610" s="88"/>
      <c r="AD610" s="88"/>
    </row>
    <row r="611" ht="13.5" customHeight="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c r="AA611" s="88"/>
      <c r="AB611" s="88"/>
      <c r="AC611" s="88"/>
      <c r="AD611" s="88"/>
    </row>
    <row r="612" ht="13.5" customHeight="1">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c r="AA612" s="88"/>
      <c r="AB612" s="88"/>
      <c r="AC612" s="88"/>
      <c r="AD612" s="88"/>
    </row>
    <row r="613" ht="13.5" customHeight="1">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c r="AA613" s="88"/>
      <c r="AB613" s="88"/>
      <c r="AC613" s="88"/>
      <c r="AD613" s="88"/>
    </row>
    <row r="614" ht="13.5" customHeight="1">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c r="AA614" s="88"/>
      <c r="AB614" s="88"/>
      <c r="AC614" s="88"/>
      <c r="AD614" s="88"/>
    </row>
    <row r="615" ht="13.5" customHeight="1">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c r="AA615" s="88"/>
      <c r="AB615" s="88"/>
      <c r="AC615" s="88"/>
      <c r="AD615" s="88"/>
    </row>
    <row r="616" ht="13.5" customHeight="1">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c r="AA616" s="88"/>
      <c r="AB616" s="88"/>
      <c r="AC616" s="88"/>
      <c r="AD616" s="88"/>
    </row>
    <row r="617" ht="13.5" customHeight="1">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c r="AA617" s="88"/>
      <c r="AB617" s="88"/>
      <c r="AC617" s="88"/>
      <c r="AD617" s="88"/>
    </row>
    <row r="618" ht="13.5" customHeight="1">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c r="AA618" s="88"/>
      <c r="AB618" s="88"/>
      <c r="AC618" s="88"/>
      <c r="AD618" s="88"/>
    </row>
    <row r="619" ht="13.5" customHeight="1">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c r="AA619" s="88"/>
      <c r="AB619" s="88"/>
      <c r="AC619" s="88"/>
      <c r="AD619" s="88"/>
    </row>
    <row r="620" ht="13.5" customHeight="1">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c r="AA620" s="88"/>
      <c r="AB620" s="88"/>
      <c r="AC620" s="88"/>
      <c r="AD620" s="88"/>
    </row>
    <row r="621" ht="13.5" customHeight="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c r="AA621" s="88"/>
      <c r="AB621" s="88"/>
      <c r="AC621" s="88"/>
      <c r="AD621" s="88"/>
    </row>
    <row r="622" ht="13.5" customHeight="1">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c r="AA622" s="88"/>
      <c r="AB622" s="88"/>
      <c r="AC622" s="88"/>
      <c r="AD622" s="88"/>
    </row>
    <row r="623" ht="13.5" customHeight="1">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c r="AA623" s="88"/>
      <c r="AB623" s="88"/>
      <c r="AC623" s="88"/>
      <c r="AD623" s="88"/>
    </row>
    <row r="624" ht="13.5" customHeight="1">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c r="AA624" s="88"/>
      <c r="AB624" s="88"/>
      <c r="AC624" s="88"/>
      <c r="AD624" s="88"/>
    </row>
    <row r="625" ht="13.5" customHeight="1">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c r="AA625" s="88"/>
      <c r="AB625" s="88"/>
      <c r="AC625" s="88"/>
      <c r="AD625" s="88"/>
    </row>
    <row r="626" ht="13.5" customHeight="1">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c r="AA626" s="88"/>
      <c r="AB626" s="88"/>
      <c r="AC626" s="88"/>
      <c r="AD626" s="88"/>
    </row>
    <row r="627" ht="13.5" customHeight="1">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c r="AA627" s="88"/>
      <c r="AB627" s="88"/>
      <c r="AC627" s="88"/>
      <c r="AD627" s="88"/>
    </row>
    <row r="628" ht="13.5" customHeight="1">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c r="AA628" s="88"/>
      <c r="AB628" s="88"/>
      <c r="AC628" s="88"/>
      <c r="AD628" s="88"/>
    </row>
    <row r="629" ht="13.5" customHeight="1">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c r="AA629" s="88"/>
      <c r="AB629" s="88"/>
      <c r="AC629" s="88"/>
      <c r="AD629" s="88"/>
    </row>
    <row r="630" ht="13.5" customHeight="1">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c r="AA630" s="88"/>
      <c r="AB630" s="88"/>
      <c r="AC630" s="88"/>
      <c r="AD630" s="88"/>
    </row>
    <row r="631" ht="13.5" customHeight="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c r="AA631" s="88"/>
      <c r="AB631" s="88"/>
      <c r="AC631" s="88"/>
      <c r="AD631" s="88"/>
    </row>
    <row r="632" ht="13.5" customHeight="1">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c r="AA632" s="88"/>
      <c r="AB632" s="88"/>
      <c r="AC632" s="88"/>
      <c r="AD632" s="88"/>
    </row>
    <row r="633" ht="13.5" customHeight="1">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c r="AA633" s="88"/>
      <c r="AB633" s="88"/>
      <c r="AC633" s="88"/>
      <c r="AD633" s="88"/>
    </row>
    <row r="634" ht="13.5" customHeight="1">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c r="AA634" s="88"/>
      <c r="AB634" s="88"/>
      <c r="AC634" s="88"/>
      <c r="AD634" s="88"/>
    </row>
    <row r="635" ht="13.5" customHeight="1">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c r="AA635" s="88"/>
      <c r="AB635" s="88"/>
      <c r="AC635" s="88"/>
      <c r="AD635" s="88"/>
    </row>
    <row r="636" ht="13.5" customHeight="1">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c r="AA636" s="88"/>
      <c r="AB636" s="88"/>
      <c r="AC636" s="88"/>
      <c r="AD636" s="88"/>
    </row>
    <row r="637" ht="13.5" customHeight="1">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c r="AA637" s="88"/>
      <c r="AB637" s="88"/>
      <c r="AC637" s="88"/>
      <c r="AD637" s="88"/>
    </row>
    <row r="638" ht="13.5" customHeight="1">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c r="AA638" s="88"/>
      <c r="AB638" s="88"/>
      <c r="AC638" s="88"/>
      <c r="AD638" s="88"/>
    </row>
    <row r="639" ht="13.5" customHeight="1">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c r="AA639" s="88"/>
      <c r="AB639" s="88"/>
      <c r="AC639" s="88"/>
      <c r="AD639" s="88"/>
    </row>
    <row r="640" ht="13.5" customHeight="1">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c r="AA640" s="88"/>
      <c r="AB640" s="88"/>
      <c r="AC640" s="88"/>
      <c r="AD640" s="88"/>
    </row>
    <row r="641" ht="13.5" customHeight="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c r="AA641" s="88"/>
      <c r="AB641" s="88"/>
      <c r="AC641" s="88"/>
      <c r="AD641" s="88"/>
    </row>
    <row r="642" ht="13.5" customHeight="1">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c r="AA642" s="88"/>
      <c r="AB642" s="88"/>
      <c r="AC642" s="88"/>
      <c r="AD642" s="88"/>
    </row>
    <row r="643" ht="13.5" customHeight="1">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c r="AA643" s="88"/>
      <c r="AB643" s="88"/>
      <c r="AC643" s="88"/>
      <c r="AD643" s="88"/>
    </row>
    <row r="644" ht="13.5" customHeight="1">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c r="AA644" s="88"/>
      <c r="AB644" s="88"/>
      <c r="AC644" s="88"/>
      <c r="AD644" s="88"/>
    </row>
    <row r="645" ht="13.5" customHeight="1">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c r="AA645" s="88"/>
      <c r="AB645" s="88"/>
      <c r="AC645" s="88"/>
      <c r="AD645" s="88"/>
    </row>
    <row r="646" ht="13.5" customHeight="1">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c r="AA646" s="88"/>
      <c r="AB646" s="88"/>
      <c r="AC646" s="88"/>
      <c r="AD646" s="88"/>
    </row>
    <row r="647" ht="13.5" customHeight="1">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c r="AA647" s="88"/>
      <c r="AB647" s="88"/>
      <c r="AC647" s="88"/>
      <c r="AD647" s="88"/>
    </row>
    <row r="648" ht="13.5" customHeight="1">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c r="AA648" s="88"/>
      <c r="AB648" s="88"/>
      <c r="AC648" s="88"/>
      <c r="AD648" s="88"/>
    </row>
    <row r="649" ht="13.5" customHeight="1">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c r="AA649" s="88"/>
      <c r="AB649" s="88"/>
      <c r="AC649" s="88"/>
      <c r="AD649" s="88"/>
    </row>
    <row r="650" ht="13.5" customHeight="1">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c r="AA650" s="88"/>
      <c r="AB650" s="88"/>
      <c r="AC650" s="88"/>
      <c r="AD650" s="88"/>
    </row>
    <row r="651" ht="13.5" customHeight="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c r="AA651" s="88"/>
      <c r="AB651" s="88"/>
      <c r="AC651" s="88"/>
      <c r="AD651" s="88"/>
    </row>
    <row r="652" ht="13.5" customHeight="1">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row>
    <row r="653" ht="13.5" customHeight="1">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row>
    <row r="654" ht="13.5" customHeight="1">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row>
    <row r="655" ht="13.5" customHeight="1">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row>
    <row r="656" ht="13.5" customHeight="1">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row>
    <row r="657" ht="13.5" customHeight="1">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c r="AA657" s="88"/>
      <c r="AB657" s="88"/>
      <c r="AC657" s="88"/>
      <c r="AD657" s="88"/>
    </row>
    <row r="658" ht="13.5" customHeight="1">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c r="AA658" s="88"/>
      <c r="AB658" s="88"/>
      <c r="AC658" s="88"/>
      <c r="AD658" s="88"/>
    </row>
    <row r="659" ht="13.5" customHeight="1">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c r="AA659" s="88"/>
      <c r="AB659" s="88"/>
      <c r="AC659" s="88"/>
      <c r="AD659" s="88"/>
    </row>
    <row r="660" ht="13.5" customHeight="1">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c r="AA660" s="88"/>
      <c r="AB660" s="88"/>
      <c r="AC660" s="88"/>
      <c r="AD660" s="88"/>
    </row>
    <row r="661" ht="13.5" customHeight="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c r="AA661" s="88"/>
      <c r="AB661" s="88"/>
      <c r="AC661" s="88"/>
      <c r="AD661" s="88"/>
    </row>
    <row r="662" ht="13.5" customHeight="1">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c r="AA662" s="88"/>
      <c r="AB662" s="88"/>
      <c r="AC662" s="88"/>
      <c r="AD662" s="88"/>
    </row>
    <row r="663" ht="13.5" customHeight="1">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c r="AA663" s="88"/>
      <c r="AB663" s="88"/>
      <c r="AC663" s="88"/>
      <c r="AD663" s="88"/>
    </row>
    <row r="664" ht="13.5" customHeight="1">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c r="AA664" s="88"/>
      <c r="AB664" s="88"/>
      <c r="AC664" s="88"/>
      <c r="AD664" s="88"/>
    </row>
    <row r="665" ht="13.5" customHeight="1">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c r="AA665" s="88"/>
      <c r="AB665" s="88"/>
      <c r="AC665" s="88"/>
      <c r="AD665" s="88"/>
    </row>
    <row r="666" ht="13.5" customHeight="1">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c r="AA666" s="88"/>
      <c r="AB666" s="88"/>
      <c r="AC666" s="88"/>
      <c r="AD666" s="88"/>
    </row>
    <row r="667" ht="13.5" customHeight="1">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c r="AA667" s="88"/>
      <c r="AB667" s="88"/>
      <c r="AC667" s="88"/>
      <c r="AD667" s="88"/>
    </row>
    <row r="668" ht="13.5" customHeight="1">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c r="AA668" s="88"/>
      <c r="AB668" s="88"/>
      <c r="AC668" s="88"/>
      <c r="AD668" s="88"/>
    </row>
    <row r="669" ht="13.5" customHeight="1">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c r="AA669" s="88"/>
      <c r="AB669" s="88"/>
      <c r="AC669" s="88"/>
      <c r="AD669" s="88"/>
    </row>
    <row r="670" ht="13.5" customHeight="1">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c r="AA670" s="88"/>
      <c r="AB670" s="88"/>
      <c r="AC670" s="88"/>
      <c r="AD670" s="88"/>
    </row>
    <row r="671" ht="13.5" customHeight="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c r="AA671" s="88"/>
      <c r="AB671" s="88"/>
      <c r="AC671" s="88"/>
      <c r="AD671" s="88"/>
    </row>
    <row r="672" ht="13.5" customHeight="1">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c r="AA672" s="88"/>
      <c r="AB672" s="88"/>
      <c r="AC672" s="88"/>
      <c r="AD672" s="88"/>
    </row>
    <row r="673" ht="13.5" customHeight="1">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c r="AA673" s="88"/>
      <c r="AB673" s="88"/>
      <c r="AC673" s="88"/>
      <c r="AD673" s="88"/>
    </row>
    <row r="674" ht="13.5" customHeight="1">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c r="AA674" s="88"/>
      <c r="AB674" s="88"/>
      <c r="AC674" s="88"/>
      <c r="AD674" s="88"/>
    </row>
    <row r="675" ht="13.5" customHeight="1">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c r="AA675" s="88"/>
      <c r="AB675" s="88"/>
      <c r="AC675" s="88"/>
      <c r="AD675" s="88"/>
    </row>
    <row r="676" ht="13.5" customHeight="1">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c r="AA676" s="88"/>
      <c r="AB676" s="88"/>
      <c r="AC676" s="88"/>
      <c r="AD676" s="88"/>
    </row>
    <row r="677" ht="13.5" customHeight="1">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c r="AA677" s="88"/>
      <c r="AB677" s="88"/>
      <c r="AC677" s="88"/>
      <c r="AD677" s="88"/>
    </row>
    <row r="678" ht="13.5" customHeight="1">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c r="AA678" s="88"/>
      <c r="AB678" s="88"/>
      <c r="AC678" s="88"/>
      <c r="AD678" s="88"/>
    </row>
    <row r="679" ht="13.5" customHeight="1">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c r="AA679" s="88"/>
      <c r="AB679" s="88"/>
      <c r="AC679" s="88"/>
      <c r="AD679" s="88"/>
    </row>
    <row r="680" ht="13.5" customHeight="1">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c r="AA680" s="88"/>
      <c r="AB680" s="88"/>
      <c r="AC680" s="88"/>
      <c r="AD680" s="88"/>
    </row>
    <row r="681" ht="13.5" customHeight="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c r="AA681" s="88"/>
      <c r="AB681" s="88"/>
      <c r="AC681" s="88"/>
      <c r="AD681" s="88"/>
    </row>
    <row r="682" ht="13.5" customHeight="1">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c r="AA682" s="88"/>
      <c r="AB682" s="88"/>
      <c r="AC682" s="88"/>
      <c r="AD682" s="88"/>
    </row>
    <row r="683" ht="13.5" customHeight="1">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c r="AA683" s="88"/>
      <c r="AB683" s="88"/>
      <c r="AC683" s="88"/>
      <c r="AD683" s="88"/>
    </row>
    <row r="684" ht="13.5" customHeight="1">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c r="AA684" s="88"/>
      <c r="AB684" s="88"/>
      <c r="AC684" s="88"/>
      <c r="AD684" s="88"/>
    </row>
    <row r="685" ht="13.5" customHeight="1">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c r="AA685" s="88"/>
      <c r="AB685" s="88"/>
      <c r="AC685" s="88"/>
      <c r="AD685" s="88"/>
    </row>
    <row r="686" ht="13.5" customHeight="1">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c r="AA686" s="88"/>
      <c r="AB686" s="88"/>
      <c r="AC686" s="88"/>
      <c r="AD686" s="88"/>
    </row>
    <row r="687" ht="13.5" customHeight="1">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c r="AA687" s="88"/>
      <c r="AB687" s="88"/>
      <c r="AC687" s="88"/>
      <c r="AD687" s="88"/>
    </row>
    <row r="688" ht="13.5" customHeight="1">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c r="AA688" s="88"/>
      <c r="AB688" s="88"/>
      <c r="AC688" s="88"/>
      <c r="AD688" s="88"/>
    </row>
    <row r="689" ht="13.5" customHeight="1">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c r="AA689" s="88"/>
      <c r="AB689" s="88"/>
      <c r="AC689" s="88"/>
      <c r="AD689" s="88"/>
    </row>
    <row r="690" ht="13.5" customHeight="1">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c r="AA690" s="88"/>
      <c r="AB690" s="88"/>
      <c r="AC690" s="88"/>
      <c r="AD690" s="88"/>
    </row>
    <row r="691" ht="13.5" customHeight="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c r="AA691" s="88"/>
      <c r="AB691" s="88"/>
      <c r="AC691" s="88"/>
      <c r="AD691" s="88"/>
    </row>
    <row r="692" ht="13.5" customHeight="1">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c r="AA692" s="88"/>
      <c r="AB692" s="88"/>
      <c r="AC692" s="88"/>
      <c r="AD692" s="88"/>
    </row>
    <row r="693" ht="13.5" customHeight="1">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c r="AA693" s="88"/>
      <c r="AB693" s="88"/>
      <c r="AC693" s="88"/>
      <c r="AD693" s="88"/>
    </row>
    <row r="694" ht="13.5" customHeight="1">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c r="AA694" s="88"/>
      <c r="AB694" s="88"/>
      <c r="AC694" s="88"/>
      <c r="AD694" s="88"/>
    </row>
    <row r="695" ht="13.5" customHeight="1">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c r="AA695" s="88"/>
      <c r="AB695" s="88"/>
      <c r="AC695" s="88"/>
      <c r="AD695" s="88"/>
    </row>
    <row r="696" ht="13.5" customHeight="1">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c r="AA696" s="88"/>
      <c r="AB696" s="88"/>
      <c r="AC696" s="88"/>
      <c r="AD696" s="88"/>
    </row>
    <row r="697" ht="13.5" customHeight="1">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c r="AA697" s="88"/>
      <c r="AB697" s="88"/>
      <c r="AC697" s="88"/>
      <c r="AD697" s="88"/>
    </row>
    <row r="698" ht="13.5" customHeight="1">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c r="AA698" s="88"/>
      <c r="AB698" s="88"/>
      <c r="AC698" s="88"/>
      <c r="AD698" s="88"/>
    </row>
    <row r="699" ht="13.5" customHeight="1">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c r="AA699" s="88"/>
      <c r="AB699" s="88"/>
      <c r="AC699" s="88"/>
      <c r="AD699" s="88"/>
    </row>
    <row r="700" ht="13.5" customHeight="1">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c r="AA700" s="88"/>
      <c r="AB700" s="88"/>
      <c r="AC700" s="88"/>
      <c r="AD700" s="88"/>
    </row>
    <row r="701" ht="13.5" customHeight="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c r="AA701" s="88"/>
      <c r="AB701" s="88"/>
      <c r="AC701" s="88"/>
      <c r="AD701" s="88"/>
    </row>
    <row r="702" ht="13.5" customHeight="1">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c r="AA702" s="88"/>
      <c r="AB702" s="88"/>
      <c r="AC702" s="88"/>
      <c r="AD702" s="88"/>
    </row>
    <row r="703" ht="13.5" customHeight="1">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c r="AA703" s="88"/>
      <c r="AB703" s="88"/>
      <c r="AC703" s="88"/>
      <c r="AD703" s="88"/>
    </row>
    <row r="704" ht="13.5" customHeight="1">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c r="AA704" s="88"/>
      <c r="AB704" s="88"/>
      <c r="AC704" s="88"/>
      <c r="AD704" s="88"/>
    </row>
    <row r="705" ht="13.5" customHeight="1">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c r="AA705" s="88"/>
      <c r="AB705" s="88"/>
      <c r="AC705" s="88"/>
      <c r="AD705" s="88"/>
    </row>
    <row r="706" ht="13.5" customHeight="1">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c r="AA706" s="88"/>
      <c r="AB706" s="88"/>
      <c r="AC706" s="88"/>
      <c r="AD706" s="88"/>
    </row>
    <row r="707" ht="13.5" customHeight="1">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c r="AA707" s="88"/>
      <c r="AB707" s="88"/>
      <c r="AC707" s="88"/>
      <c r="AD707" s="88"/>
    </row>
    <row r="708" ht="13.5" customHeight="1">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c r="AA708" s="88"/>
      <c r="AB708" s="88"/>
      <c r="AC708" s="88"/>
      <c r="AD708" s="88"/>
    </row>
    <row r="709" ht="13.5" customHeight="1">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c r="AA709" s="88"/>
      <c r="AB709" s="88"/>
      <c r="AC709" s="88"/>
      <c r="AD709" s="88"/>
    </row>
    <row r="710" ht="13.5" customHeight="1">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c r="AA710" s="88"/>
      <c r="AB710" s="88"/>
      <c r="AC710" s="88"/>
      <c r="AD710" s="88"/>
    </row>
    <row r="711" ht="13.5" customHeight="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c r="AA711" s="88"/>
      <c r="AB711" s="88"/>
      <c r="AC711" s="88"/>
      <c r="AD711" s="88"/>
    </row>
    <row r="712" ht="13.5" customHeight="1">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c r="AA712" s="88"/>
      <c r="AB712" s="88"/>
      <c r="AC712" s="88"/>
      <c r="AD712" s="88"/>
    </row>
    <row r="713" ht="13.5" customHeight="1">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c r="AA713" s="88"/>
      <c r="AB713" s="88"/>
      <c r="AC713" s="88"/>
      <c r="AD713" s="88"/>
    </row>
    <row r="714" ht="13.5" customHeight="1">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c r="AA714" s="88"/>
      <c r="AB714" s="88"/>
      <c r="AC714" s="88"/>
      <c r="AD714" s="88"/>
    </row>
    <row r="715" ht="13.5" customHeight="1">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c r="AA715" s="88"/>
      <c r="AB715" s="88"/>
      <c r="AC715" s="88"/>
      <c r="AD715" s="88"/>
    </row>
    <row r="716" ht="13.5" customHeight="1">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c r="AA716" s="88"/>
      <c r="AB716" s="88"/>
      <c r="AC716" s="88"/>
      <c r="AD716" s="88"/>
    </row>
    <row r="717" ht="13.5" customHeight="1">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c r="AA717" s="88"/>
      <c r="AB717" s="88"/>
      <c r="AC717" s="88"/>
      <c r="AD717" s="88"/>
    </row>
    <row r="718" ht="13.5" customHeight="1">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c r="AA718" s="88"/>
      <c r="AB718" s="88"/>
      <c r="AC718" s="88"/>
      <c r="AD718" s="88"/>
    </row>
    <row r="719" ht="13.5" customHeight="1">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c r="AA719" s="88"/>
      <c r="AB719" s="88"/>
      <c r="AC719" s="88"/>
      <c r="AD719" s="88"/>
    </row>
    <row r="720" ht="13.5" customHeight="1">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c r="AA720" s="88"/>
      <c r="AB720" s="88"/>
      <c r="AC720" s="88"/>
      <c r="AD720" s="88"/>
    </row>
    <row r="721" ht="13.5" customHeight="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c r="AA721" s="88"/>
      <c r="AB721" s="88"/>
      <c r="AC721" s="88"/>
      <c r="AD721" s="88"/>
    </row>
    <row r="722" ht="13.5" customHeight="1">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c r="AA722" s="88"/>
      <c r="AB722" s="88"/>
      <c r="AC722" s="88"/>
      <c r="AD722" s="88"/>
    </row>
    <row r="723" ht="13.5" customHeight="1">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c r="AA723" s="88"/>
      <c r="AB723" s="88"/>
      <c r="AC723" s="88"/>
      <c r="AD723" s="88"/>
    </row>
    <row r="724" ht="13.5" customHeight="1">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c r="AA724" s="88"/>
      <c r="AB724" s="88"/>
      <c r="AC724" s="88"/>
      <c r="AD724" s="88"/>
    </row>
    <row r="725" ht="13.5" customHeight="1">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c r="AA725" s="88"/>
      <c r="AB725" s="88"/>
      <c r="AC725" s="88"/>
      <c r="AD725" s="88"/>
    </row>
    <row r="726" ht="13.5" customHeight="1">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c r="AA726" s="88"/>
      <c r="AB726" s="88"/>
      <c r="AC726" s="88"/>
      <c r="AD726" s="88"/>
    </row>
    <row r="727" ht="13.5" customHeight="1">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c r="AA727" s="88"/>
      <c r="AB727" s="88"/>
      <c r="AC727" s="88"/>
      <c r="AD727" s="88"/>
    </row>
    <row r="728" ht="13.5" customHeight="1">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c r="AA728" s="88"/>
      <c r="AB728" s="88"/>
      <c r="AC728" s="88"/>
      <c r="AD728" s="88"/>
    </row>
    <row r="729" ht="13.5" customHeight="1">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c r="AA729" s="88"/>
      <c r="AB729" s="88"/>
      <c r="AC729" s="88"/>
      <c r="AD729" s="88"/>
    </row>
    <row r="730" ht="13.5" customHeight="1">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c r="AA730" s="88"/>
      <c r="AB730" s="88"/>
      <c r="AC730" s="88"/>
      <c r="AD730" s="88"/>
    </row>
    <row r="731" ht="13.5" customHeight="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c r="AA731" s="88"/>
      <c r="AB731" s="88"/>
      <c r="AC731" s="88"/>
      <c r="AD731" s="88"/>
    </row>
    <row r="732" ht="13.5" customHeight="1">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c r="AA732" s="88"/>
      <c r="AB732" s="88"/>
      <c r="AC732" s="88"/>
      <c r="AD732" s="88"/>
    </row>
    <row r="733" ht="13.5" customHeight="1">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c r="AA733" s="88"/>
      <c r="AB733" s="88"/>
      <c r="AC733" s="88"/>
      <c r="AD733" s="88"/>
    </row>
    <row r="734" ht="13.5" customHeight="1">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c r="AA734" s="88"/>
      <c r="AB734" s="88"/>
      <c r="AC734" s="88"/>
      <c r="AD734" s="88"/>
    </row>
    <row r="735" ht="13.5" customHeight="1">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c r="AA735" s="88"/>
      <c r="AB735" s="88"/>
      <c r="AC735" s="88"/>
      <c r="AD735" s="88"/>
    </row>
    <row r="736" ht="13.5" customHeight="1">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c r="AA736" s="88"/>
      <c r="AB736" s="88"/>
      <c r="AC736" s="88"/>
      <c r="AD736" s="88"/>
    </row>
    <row r="737" ht="13.5" customHeight="1">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c r="AA737" s="88"/>
      <c r="AB737" s="88"/>
      <c r="AC737" s="88"/>
      <c r="AD737" s="88"/>
    </row>
    <row r="738" ht="13.5" customHeight="1">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c r="AA738" s="88"/>
      <c r="AB738" s="88"/>
      <c r="AC738" s="88"/>
      <c r="AD738" s="88"/>
    </row>
    <row r="739" ht="13.5" customHeight="1">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c r="AA739" s="88"/>
      <c r="AB739" s="88"/>
      <c r="AC739" s="88"/>
      <c r="AD739" s="88"/>
    </row>
    <row r="740" ht="13.5" customHeight="1">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c r="AA740" s="88"/>
      <c r="AB740" s="88"/>
      <c r="AC740" s="88"/>
      <c r="AD740" s="88"/>
    </row>
    <row r="741" ht="13.5" customHeight="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c r="AA741" s="88"/>
      <c r="AB741" s="88"/>
      <c r="AC741" s="88"/>
      <c r="AD741" s="88"/>
    </row>
    <row r="742" ht="13.5" customHeight="1">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c r="AA742" s="88"/>
      <c r="AB742" s="88"/>
      <c r="AC742" s="88"/>
      <c r="AD742" s="88"/>
    </row>
    <row r="743" ht="13.5" customHeight="1">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c r="AA743" s="88"/>
      <c r="AB743" s="88"/>
      <c r="AC743" s="88"/>
      <c r="AD743" s="88"/>
    </row>
    <row r="744" ht="13.5" customHeight="1">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c r="AA744" s="88"/>
      <c r="AB744" s="88"/>
      <c r="AC744" s="88"/>
      <c r="AD744" s="88"/>
    </row>
    <row r="745" ht="13.5" customHeight="1">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c r="AA745" s="88"/>
      <c r="AB745" s="88"/>
      <c r="AC745" s="88"/>
      <c r="AD745" s="88"/>
    </row>
    <row r="746" ht="13.5" customHeight="1">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c r="AA746" s="88"/>
      <c r="AB746" s="88"/>
      <c r="AC746" s="88"/>
      <c r="AD746" s="88"/>
    </row>
    <row r="747" ht="13.5" customHeight="1">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c r="AA747" s="88"/>
      <c r="AB747" s="88"/>
      <c r="AC747" s="88"/>
      <c r="AD747" s="88"/>
    </row>
    <row r="748" ht="13.5" customHeight="1">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c r="AA748" s="88"/>
      <c r="AB748" s="88"/>
      <c r="AC748" s="88"/>
      <c r="AD748" s="88"/>
    </row>
    <row r="749" ht="13.5" customHeight="1">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c r="AA749" s="88"/>
      <c r="AB749" s="88"/>
      <c r="AC749" s="88"/>
      <c r="AD749" s="88"/>
    </row>
    <row r="750" ht="13.5" customHeight="1">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c r="AA750" s="88"/>
      <c r="AB750" s="88"/>
      <c r="AC750" s="88"/>
      <c r="AD750" s="88"/>
    </row>
    <row r="751" ht="13.5" customHeight="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c r="AA751" s="88"/>
      <c r="AB751" s="88"/>
      <c r="AC751" s="88"/>
      <c r="AD751" s="88"/>
    </row>
    <row r="752" ht="13.5" customHeight="1">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c r="AA752" s="88"/>
      <c r="AB752" s="88"/>
      <c r="AC752" s="88"/>
      <c r="AD752" s="88"/>
    </row>
    <row r="753" ht="13.5" customHeight="1">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c r="AA753" s="88"/>
      <c r="AB753" s="88"/>
      <c r="AC753" s="88"/>
      <c r="AD753" s="88"/>
    </row>
    <row r="754" ht="13.5" customHeight="1">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c r="AA754" s="88"/>
      <c r="AB754" s="88"/>
      <c r="AC754" s="88"/>
      <c r="AD754" s="88"/>
    </row>
    <row r="755" ht="13.5" customHeight="1">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c r="AA755" s="88"/>
      <c r="AB755" s="88"/>
      <c r="AC755" s="88"/>
      <c r="AD755" s="88"/>
    </row>
    <row r="756" ht="13.5" customHeight="1">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c r="AA756" s="88"/>
      <c r="AB756" s="88"/>
      <c r="AC756" s="88"/>
      <c r="AD756" s="88"/>
    </row>
    <row r="757" ht="13.5" customHeight="1">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c r="AA757" s="88"/>
      <c r="AB757" s="88"/>
      <c r="AC757" s="88"/>
      <c r="AD757" s="88"/>
    </row>
    <row r="758" ht="13.5" customHeight="1">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c r="AA758" s="88"/>
      <c r="AB758" s="88"/>
      <c r="AC758" s="88"/>
      <c r="AD758" s="88"/>
    </row>
    <row r="759" ht="13.5" customHeight="1">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c r="AA759" s="88"/>
      <c r="AB759" s="88"/>
      <c r="AC759" s="88"/>
      <c r="AD759" s="88"/>
    </row>
    <row r="760" ht="13.5" customHeight="1">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c r="AA760" s="88"/>
      <c r="AB760" s="88"/>
      <c r="AC760" s="88"/>
      <c r="AD760" s="88"/>
    </row>
    <row r="761" ht="13.5" customHeight="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c r="AA761" s="88"/>
      <c r="AB761" s="88"/>
      <c r="AC761" s="88"/>
      <c r="AD761" s="88"/>
    </row>
    <row r="762" ht="13.5" customHeight="1">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c r="AA762" s="88"/>
      <c r="AB762" s="88"/>
      <c r="AC762" s="88"/>
      <c r="AD762" s="88"/>
    </row>
    <row r="763" ht="13.5" customHeight="1">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c r="AA763" s="88"/>
      <c r="AB763" s="88"/>
      <c r="AC763" s="88"/>
      <c r="AD763" s="88"/>
    </row>
    <row r="764" ht="13.5" customHeight="1">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c r="AA764" s="88"/>
      <c r="AB764" s="88"/>
      <c r="AC764" s="88"/>
      <c r="AD764" s="88"/>
    </row>
    <row r="765" ht="13.5" customHeight="1">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c r="AA765" s="88"/>
      <c r="AB765" s="88"/>
      <c r="AC765" s="88"/>
      <c r="AD765" s="88"/>
    </row>
    <row r="766" ht="13.5" customHeight="1">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c r="AA766" s="88"/>
      <c r="AB766" s="88"/>
      <c r="AC766" s="88"/>
      <c r="AD766" s="88"/>
    </row>
    <row r="767" ht="13.5" customHeight="1">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c r="AA767" s="88"/>
      <c r="AB767" s="88"/>
      <c r="AC767" s="88"/>
      <c r="AD767" s="88"/>
    </row>
    <row r="768" ht="13.5" customHeight="1">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c r="AA768" s="88"/>
      <c r="AB768" s="88"/>
      <c r="AC768" s="88"/>
      <c r="AD768" s="88"/>
    </row>
    <row r="769" ht="13.5" customHeight="1">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c r="AA769" s="88"/>
      <c r="AB769" s="88"/>
      <c r="AC769" s="88"/>
      <c r="AD769" s="88"/>
    </row>
    <row r="770" ht="13.5" customHeight="1">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c r="AA770" s="88"/>
      <c r="AB770" s="88"/>
      <c r="AC770" s="88"/>
      <c r="AD770" s="88"/>
    </row>
    <row r="771" ht="13.5" customHeight="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c r="AA771" s="88"/>
      <c r="AB771" s="88"/>
      <c r="AC771" s="88"/>
      <c r="AD771" s="88"/>
    </row>
    <row r="772" ht="13.5" customHeight="1">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c r="AA772" s="88"/>
      <c r="AB772" s="88"/>
      <c r="AC772" s="88"/>
      <c r="AD772" s="88"/>
    </row>
    <row r="773" ht="13.5" customHeight="1">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c r="AA773" s="88"/>
      <c r="AB773" s="88"/>
      <c r="AC773" s="88"/>
      <c r="AD773" s="88"/>
    </row>
    <row r="774" ht="13.5" customHeight="1">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c r="AA774" s="88"/>
      <c r="AB774" s="88"/>
      <c r="AC774" s="88"/>
      <c r="AD774" s="88"/>
    </row>
    <row r="775" ht="13.5" customHeight="1">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c r="AA775" s="88"/>
      <c r="AB775" s="88"/>
      <c r="AC775" s="88"/>
      <c r="AD775" s="88"/>
    </row>
    <row r="776" ht="13.5" customHeight="1">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c r="AA776" s="88"/>
      <c r="AB776" s="88"/>
      <c r="AC776" s="88"/>
      <c r="AD776" s="88"/>
    </row>
    <row r="777" ht="13.5" customHeight="1">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c r="AA777" s="88"/>
      <c r="AB777" s="88"/>
      <c r="AC777" s="88"/>
      <c r="AD777" s="88"/>
    </row>
    <row r="778" ht="13.5" customHeight="1">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c r="AA778" s="88"/>
      <c r="AB778" s="88"/>
      <c r="AC778" s="88"/>
      <c r="AD778" s="88"/>
    </row>
    <row r="779" ht="13.5" customHeight="1">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c r="AA779" s="88"/>
      <c r="AB779" s="88"/>
      <c r="AC779" s="88"/>
      <c r="AD779" s="88"/>
    </row>
    <row r="780" ht="13.5" customHeight="1">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c r="AA780" s="88"/>
      <c r="AB780" s="88"/>
      <c r="AC780" s="88"/>
      <c r="AD780" s="88"/>
    </row>
    <row r="781" ht="13.5" customHeight="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c r="AA781" s="88"/>
      <c r="AB781" s="88"/>
      <c r="AC781" s="88"/>
      <c r="AD781" s="88"/>
    </row>
    <row r="782" ht="13.5" customHeight="1">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c r="AA782" s="88"/>
      <c r="AB782" s="88"/>
      <c r="AC782" s="88"/>
      <c r="AD782" s="88"/>
    </row>
    <row r="783" ht="13.5" customHeight="1">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c r="AA783" s="88"/>
      <c r="AB783" s="88"/>
      <c r="AC783" s="88"/>
      <c r="AD783" s="88"/>
    </row>
    <row r="784" ht="13.5" customHeight="1">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c r="AA784" s="88"/>
      <c r="AB784" s="88"/>
      <c r="AC784" s="88"/>
      <c r="AD784" s="88"/>
    </row>
    <row r="785" ht="13.5" customHeight="1">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c r="AA785" s="88"/>
      <c r="AB785" s="88"/>
      <c r="AC785" s="88"/>
      <c r="AD785" s="88"/>
    </row>
    <row r="786" ht="13.5" customHeight="1">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c r="AA786" s="88"/>
      <c r="AB786" s="88"/>
      <c r="AC786" s="88"/>
      <c r="AD786" s="88"/>
    </row>
    <row r="787" ht="13.5" customHeight="1">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c r="AA787" s="88"/>
      <c r="AB787" s="88"/>
      <c r="AC787" s="88"/>
      <c r="AD787" s="88"/>
    </row>
    <row r="788" ht="13.5" customHeight="1">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c r="AA788" s="88"/>
      <c r="AB788" s="88"/>
      <c r="AC788" s="88"/>
      <c r="AD788" s="88"/>
    </row>
    <row r="789" ht="13.5" customHeight="1">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c r="AA789" s="88"/>
      <c r="AB789" s="88"/>
      <c r="AC789" s="88"/>
      <c r="AD789" s="88"/>
    </row>
    <row r="790" ht="13.5" customHeight="1">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c r="AA790" s="88"/>
      <c r="AB790" s="88"/>
      <c r="AC790" s="88"/>
      <c r="AD790" s="88"/>
    </row>
    <row r="791" ht="13.5" customHeight="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c r="AA791" s="88"/>
      <c r="AB791" s="88"/>
      <c r="AC791" s="88"/>
      <c r="AD791" s="88"/>
    </row>
    <row r="792" ht="13.5" customHeight="1">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c r="AA792" s="88"/>
      <c r="AB792" s="88"/>
      <c r="AC792" s="88"/>
      <c r="AD792" s="88"/>
    </row>
    <row r="793" ht="13.5" customHeight="1">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c r="AA793" s="88"/>
      <c r="AB793" s="88"/>
      <c r="AC793" s="88"/>
      <c r="AD793" s="88"/>
    </row>
    <row r="794" ht="13.5" customHeight="1">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c r="AA794" s="88"/>
      <c r="AB794" s="88"/>
      <c r="AC794" s="88"/>
      <c r="AD794" s="88"/>
    </row>
    <row r="795" ht="13.5" customHeight="1">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c r="AA795" s="88"/>
      <c r="AB795" s="88"/>
      <c r="AC795" s="88"/>
      <c r="AD795" s="88"/>
    </row>
    <row r="796" ht="13.5" customHeight="1">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c r="AA796" s="88"/>
      <c r="AB796" s="88"/>
      <c r="AC796" s="88"/>
      <c r="AD796" s="88"/>
    </row>
    <row r="797" ht="13.5" customHeight="1">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c r="AA797" s="88"/>
      <c r="AB797" s="88"/>
      <c r="AC797" s="88"/>
      <c r="AD797" s="88"/>
    </row>
    <row r="798" ht="13.5" customHeight="1">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c r="AA798" s="88"/>
      <c r="AB798" s="88"/>
      <c r="AC798" s="88"/>
      <c r="AD798" s="88"/>
    </row>
    <row r="799" ht="13.5" customHeight="1">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c r="AA799" s="88"/>
      <c r="AB799" s="88"/>
      <c r="AC799" s="88"/>
      <c r="AD799" s="88"/>
    </row>
    <row r="800" ht="13.5" customHeight="1">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c r="AA800" s="88"/>
      <c r="AB800" s="88"/>
      <c r="AC800" s="88"/>
      <c r="AD800" s="88"/>
    </row>
    <row r="801" ht="13.5" customHeight="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c r="AA801" s="88"/>
      <c r="AB801" s="88"/>
      <c r="AC801" s="88"/>
      <c r="AD801" s="88"/>
    </row>
    <row r="802" ht="13.5" customHeight="1">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c r="AA802" s="88"/>
      <c r="AB802" s="88"/>
      <c r="AC802" s="88"/>
      <c r="AD802" s="88"/>
    </row>
    <row r="803" ht="13.5" customHeight="1">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c r="AA803" s="88"/>
      <c r="AB803" s="88"/>
      <c r="AC803" s="88"/>
      <c r="AD803" s="88"/>
    </row>
    <row r="804" ht="13.5" customHeight="1">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c r="AA804" s="88"/>
      <c r="AB804" s="88"/>
      <c r="AC804" s="88"/>
      <c r="AD804" s="88"/>
    </row>
    <row r="805" ht="13.5" customHeight="1">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c r="AA805" s="88"/>
      <c r="AB805" s="88"/>
      <c r="AC805" s="88"/>
      <c r="AD805" s="88"/>
    </row>
    <row r="806" ht="13.5" customHeight="1">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c r="AA806" s="88"/>
      <c r="AB806" s="88"/>
      <c r="AC806" s="88"/>
      <c r="AD806" s="88"/>
    </row>
    <row r="807" ht="13.5" customHeight="1">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c r="AA807" s="88"/>
      <c r="AB807" s="88"/>
      <c r="AC807" s="88"/>
      <c r="AD807" s="88"/>
    </row>
    <row r="808" ht="13.5" customHeight="1">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c r="AA808" s="88"/>
      <c r="AB808" s="88"/>
      <c r="AC808" s="88"/>
      <c r="AD808" s="88"/>
    </row>
    <row r="809" ht="13.5" customHeight="1">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c r="AA809" s="88"/>
      <c r="AB809" s="88"/>
      <c r="AC809" s="88"/>
      <c r="AD809" s="88"/>
    </row>
    <row r="810" ht="13.5" customHeight="1">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c r="AA810" s="88"/>
      <c r="AB810" s="88"/>
      <c r="AC810" s="88"/>
      <c r="AD810" s="88"/>
    </row>
    <row r="811" ht="13.5" customHeight="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c r="AA811" s="88"/>
      <c r="AB811" s="88"/>
      <c r="AC811" s="88"/>
      <c r="AD811" s="88"/>
    </row>
    <row r="812" ht="13.5" customHeight="1">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c r="AA812" s="88"/>
      <c r="AB812" s="88"/>
      <c r="AC812" s="88"/>
      <c r="AD812" s="88"/>
    </row>
    <row r="813" ht="13.5" customHeight="1">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c r="AA813" s="88"/>
      <c r="AB813" s="88"/>
      <c r="AC813" s="88"/>
      <c r="AD813" s="88"/>
    </row>
    <row r="814" ht="13.5" customHeight="1">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c r="AA814" s="88"/>
      <c r="AB814" s="88"/>
      <c r="AC814" s="88"/>
      <c r="AD814" s="88"/>
    </row>
    <row r="815" ht="13.5" customHeight="1">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c r="AA815" s="88"/>
      <c r="AB815" s="88"/>
      <c r="AC815" s="88"/>
      <c r="AD815" s="88"/>
    </row>
    <row r="816" ht="13.5" customHeight="1">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c r="AA816" s="88"/>
      <c r="AB816" s="88"/>
      <c r="AC816" s="88"/>
      <c r="AD816" s="88"/>
    </row>
    <row r="817" ht="13.5" customHeight="1">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c r="AA817" s="88"/>
      <c r="AB817" s="88"/>
      <c r="AC817" s="88"/>
      <c r="AD817" s="88"/>
    </row>
    <row r="818" ht="13.5" customHeight="1">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c r="AA818" s="88"/>
      <c r="AB818" s="88"/>
      <c r="AC818" s="88"/>
      <c r="AD818" s="88"/>
    </row>
    <row r="819" ht="13.5" customHeight="1">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c r="AA819" s="88"/>
      <c r="AB819" s="88"/>
      <c r="AC819" s="88"/>
      <c r="AD819" s="88"/>
    </row>
    <row r="820" ht="13.5" customHeight="1">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c r="AA820" s="88"/>
      <c r="AB820" s="88"/>
      <c r="AC820" s="88"/>
      <c r="AD820" s="88"/>
    </row>
    <row r="821" ht="13.5" customHeight="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c r="AA821" s="88"/>
      <c r="AB821" s="88"/>
      <c r="AC821" s="88"/>
      <c r="AD821" s="88"/>
    </row>
    <row r="822" ht="13.5" customHeight="1">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c r="AA822" s="88"/>
      <c r="AB822" s="88"/>
      <c r="AC822" s="88"/>
      <c r="AD822" s="88"/>
    </row>
    <row r="823" ht="13.5" customHeight="1">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c r="AA823" s="88"/>
      <c r="AB823" s="88"/>
      <c r="AC823" s="88"/>
      <c r="AD823" s="88"/>
    </row>
    <row r="824" ht="13.5" customHeight="1">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c r="AA824" s="88"/>
      <c r="AB824" s="88"/>
      <c r="AC824" s="88"/>
      <c r="AD824" s="88"/>
    </row>
    <row r="825" ht="13.5" customHeight="1">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c r="AA825" s="88"/>
      <c r="AB825" s="88"/>
      <c r="AC825" s="88"/>
      <c r="AD825" s="88"/>
    </row>
    <row r="826" ht="13.5" customHeight="1">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c r="AA826" s="88"/>
      <c r="AB826" s="88"/>
      <c r="AC826" s="88"/>
      <c r="AD826" s="88"/>
    </row>
    <row r="827" ht="13.5" customHeight="1">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c r="AA827" s="88"/>
      <c r="AB827" s="88"/>
      <c r="AC827" s="88"/>
      <c r="AD827" s="88"/>
    </row>
    <row r="828" ht="13.5" customHeight="1">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c r="AA828" s="88"/>
      <c r="AB828" s="88"/>
      <c r="AC828" s="88"/>
      <c r="AD828" s="88"/>
    </row>
    <row r="829" ht="13.5" customHeight="1">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c r="AA829" s="88"/>
      <c r="AB829" s="88"/>
      <c r="AC829" s="88"/>
      <c r="AD829" s="88"/>
    </row>
    <row r="830" ht="13.5" customHeight="1">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c r="AA830" s="88"/>
      <c r="AB830" s="88"/>
      <c r="AC830" s="88"/>
      <c r="AD830" s="88"/>
    </row>
    <row r="831" ht="13.5" customHeight="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c r="AA831" s="88"/>
      <c r="AB831" s="88"/>
      <c r="AC831" s="88"/>
      <c r="AD831" s="88"/>
    </row>
    <row r="832" ht="13.5" customHeight="1">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c r="AA832" s="88"/>
      <c r="AB832" s="88"/>
      <c r="AC832" s="88"/>
      <c r="AD832" s="88"/>
    </row>
    <row r="833" ht="13.5" customHeight="1">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c r="AA833" s="88"/>
      <c r="AB833" s="88"/>
      <c r="AC833" s="88"/>
      <c r="AD833" s="88"/>
    </row>
    <row r="834" ht="13.5" customHeight="1">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c r="AA834" s="88"/>
      <c r="AB834" s="88"/>
      <c r="AC834" s="88"/>
      <c r="AD834" s="88"/>
    </row>
    <row r="835" ht="13.5" customHeight="1">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c r="AA835" s="88"/>
      <c r="AB835" s="88"/>
      <c r="AC835" s="88"/>
      <c r="AD835" s="88"/>
    </row>
    <row r="836" ht="13.5" customHeight="1">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c r="AA836" s="88"/>
      <c r="AB836" s="88"/>
      <c r="AC836" s="88"/>
      <c r="AD836" s="88"/>
    </row>
    <row r="837" ht="13.5" customHeight="1">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c r="AA837" s="88"/>
      <c r="AB837" s="88"/>
      <c r="AC837" s="88"/>
      <c r="AD837" s="88"/>
    </row>
    <row r="838" ht="13.5" customHeight="1">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c r="AA838" s="88"/>
      <c r="AB838" s="88"/>
      <c r="AC838" s="88"/>
      <c r="AD838" s="88"/>
    </row>
    <row r="839" ht="13.5" customHeight="1">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c r="AA839" s="88"/>
      <c r="AB839" s="88"/>
      <c r="AC839" s="88"/>
      <c r="AD839" s="88"/>
    </row>
    <row r="840" ht="13.5" customHeight="1">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c r="AA840" s="88"/>
      <c r="AB840" s="88"/>
      <c r="AC840" s="88"/>
      <c r="AD840" s="88"/>
    </row>
    <row r="841" ht="13.5" customHeight="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c r="AA841" s="88"/>
      <c r="AB841" s="88"/>
      <c r="AC841" s="88"/>
      <c r="AD841" s="88"/>
    </row>
    <row r="842" ht="13.5" customHeight="1">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c r="AA842" s="88"/>
      <c r="AB842" s="88"/>
      <c r="AC842" s="88"/>
      <c r="AD842" s="88"/>
    </row>
    <row r="843" ht="13.5" customHeight="1">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c r="AA843" s="88"/>
      <c r="AB843" s="88"/>
      <c r="AC843" s="88"/>
      <c r="AD843" s="88"/>
    </row>
    <row r="844" ht="13.5" customHeight="1">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c r="AA844" s="88"/>
      <c r="AB844" s="88"/>
      <c r="AC844" s="88"/>
      <c r="AD844" s="88"/>
    </row>
    <row r="845" ht="13.5" customHeight="1">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c r="AA845" s="88"/>
      <c r="AB845" s="88"/>
      <c r="AC845" s="88"/>
      <c r="AD845" s="88"/>
    </row>
    <row r="846" ht="13.5" customHeight="1">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c r="AA846" s="88"/>
      <c r="AB846" s="88"/>
      <c r="AC846" s="88"/>
      <c r="AD846" s="88"/>
    </row>
    <row r="847" ht="13.5" customHeight="1">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c r="AA847" s="88"/>
      <c r="AB847" s="88"/>
      <c r="AC847" s="88"/>
      <c r="AD847" s="88"/>
    </row>
    <row r="848" ht="13.5" customHeight="1">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c r="AA848" s="88"/>
      <c r="AB848" s="88"/>
      <c r="AC848" s="88"/>
      <c r="AD848" s="88"/>
    </row>
    <row r="849" ht="13.5" customHeight="1">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c r="AA849" s="88"/>
      <c r="AB849" s="88"/>
      <c r="AC849" s="88"/>
      <c r="AD849" s="88"/>
    </row>
    <row r="850" ht="13.5" customHeight="1">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c r="AA850" s="88"/>
      <c r="AB850" s="88"/>
      <c r="AC850" s="88"/>
      <c r="AD850" s="88"/>
    </row>
    <row r="851" ht="13.5" customHeight="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c r="AA851" s="88"/>
      <c r="AB851" s="88"/>
      <c r="AC851" s="88"/>
      <c r="AD851" s="88"/>
    </row>
    <row r="852" ht="13.5" customHeight="1">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c r="AA852" s="88"/>
      <c r="AB852" s="88"/>
      <c r="AC852" s="88"/>
      <c r="AD852" s="88"/>
    </row>
    <row r="853" ht="13.5" customHeight="1">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c r="AA853" s="88"/>
      <c r="AB853" s="88"/>
      <c r="AC853" s="88"/>
      <c r="AD853" s="88"/>
    </row>
    <row r="854" ht="13.5" customHeight="1">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c r="AA854" s="88"/>
      <c r="AB854" s="88"/>
      <c r="AC854" s="88"/>
      <c r="AD854" s="88"/>
    </row>
    <row r="855" ht="13.5" customHeight="1">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c r="AA855" s="88"/>
      <c r="AB855" s="88"/>
      <c r="AC855" s="88"/>
      <c r="AD855" s="88"/>
    </row>
    <row r="856" ht="13.5" customHeight="1">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c r="AA856" s="88"/>
      <c r="AB856" s="88"/>
      <c r="AC856" s="88"/>
      <c r="AD856" s="88"/>
    </row>
    <row r="857" ht="13.5" customHeight="1">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c r="AA857" s="88"/>
      <c r="AB857" s="88"/>
      <c r="AC857" s="88"/>
      <c r="AD857" s="88"/>
    </row>
    <row r="858" ht="13.5" customHeight="1">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c r="AA858" s="88"/>
      <c r="AB858" s="88"/>
      <c r="AC858" s="88"/>
      <c r="AD858" s="88"/>
    </row>
    <row r="859" ht="13.5" customHeight="1">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c r="AA859" s="88"/>
      <c r="AB859" s="88"/>
      <c r="AC859" s="88"/>
      <c r="AD859" s="88"/>
    </row>
    <row r="860" ht="13.5" customHeight="1">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c r="AA860" s="88"/>
      <c r="AB860" s="88"/>
      <c r="AC860" s="88"/>
      <c r="AD860" s="88"/>
    </row>
    <row r="861" ht="13.5" customHeight="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c r="AA861" s="88"/>
      <c r="AB861" s="88"/>
      <c r="AC861" s="88"/>
      <c r="AD861" s="88"/>
    </row>
    <row r="862" ht="13.5" customHeight="1">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c r="AA862" s="88"/>
      <c r="AB862" s="88"/>
      <c r="AC862" s="88"/>
      <c r="AD862" s="88"/>
    </row>
    <row r="863" ht="13.5" customHeight="1">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c r="AA863" s="88"/>
      <c r="AB863" s="88"/>
      <c r="AC863" s="88"/>
      <c r="AD863" s="88"/>
    </row>
    <row r="864" ht="13.5" customHeight="1">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c r="AA864" s="88"/>
      <c r="AB864" s="88"/>
      <c r="AC864" s="88"/>
      <c r="AD864" s="88"/>
    </row>
    <row r="865" ht="13.5" customHeight="1">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c r="AA865" s="88"/>
      <c r="AB865" s="88"/>
      <c r="AC865" s="88"/>
      <c r="AD865" s="88"/>
    </row>
    <row r="866" ht="13.5" customHeight="1">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c r="AA866" s="88"/>
      <c r="AB866" s="88"/>
      <c r="AC866" s="88"/>
      <c r="AD866" s="88"/>
    </row>
    <row r="867" ht="13.5" customHeight="1">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c r="AA867" s="88"/>
      <c r="AB867" s="88"/>
      <c r="AC867" s="88"/>
      <c r="AD867" s="88"/>
    </row>
    <row r="868" ht="13.5" customHeight="1">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c r="AA868" s="88"/>
      <c r="AB868" s="88"/>
      <c r="AC868" s="88"/>
      <c r="AD868" s="88"/>
    </row>
    <row r="869" ht="13.5" customHeight="1">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c r="AA869" s="88"/>
      <c r="AB869" s="88"/>
      <c r="AC869" s="88"/>
      <c r="AD869" s="88"/>
    </row>
    <row r="870" ht="13.5" customHeight="1">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c r="AA870" s="88"/>
      <c r="AB870" s="88"/>
      <c r="AC870" s="88"/>
      <c r="AD870" s="88"/>
    </row>
    <row r="871" ht="13.5" customHeight="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c r="AA871" s="88"/>
      <c r="AB871" s="88"/>
      <c r="AC871" s="88"/>
      <c r="AD871" s="88"/>
    </row>
    <row r="872" ht="13.5" customHeight="1">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c r="AA872" s="88"/>
      <c r="AB872" s="88"/>
      <c r="AC872" s="88"/>
      <c r="AD872" s="88"/>
    </row>
    <row r="873" ht="13.5" customHeight="1">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c r="AA873" s="88"/>
      <c r="AB873" s="88"/>
      <c r="AC873" s="88"/>
      <c r="AD873" s="88"/>
    </row>
    <row r="874" ht="13.5" customHeight="1">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c r="AA874" s="88"/>
      <c r="AB874" s="88"/>
      <c r="AC874" s="88"/>
      <c r="AD874" s="88"/>
    </row>
    <row r="875" ht="13.5" customHeight="1">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c r="AA875" s="88"/>
      <c r="AB875" s="88"/>
      <c r="AC875" s="88"/>
      <c r="AD875" s="88"/>
    </row>
    <row r="876" ht="13.5" customHeight="1">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c r="AA876" s="88"/>
      <c r="AB876" s="88"/>
      <c r="AC876" s="88"/>
      <c r="AD876" s="88"/>
    </row>
    <row r="877" ht="13.5" customHeight="1">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c r="AA877" s="88"/>
      <c r="AB877" s="88"/>
      <c r="AC877" s="88"/>
      <c r="AD877" s="88"/>
    </row>
    <row r="878" ht="13.5" customHeight="1">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c r="AA878" s="88"/>
      <c r="AB878" s="88"/>
      <c r="AC878" s="88"/>
      <c r="AD878" s="88"/>
    </row>
    <row r="879" ht="13.5" customHeight="1">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c r="AA879" s="88"/>
      <c r="AB879" s="88"/>
      <c r="AC879" s="88"/>
      <c r="AD879" s="88"/>
    </row>
    <row r="880" ht="13.5" customHeight="1">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c r="AA880" s="88"/>
      <c r="AB880" s="88"/>
      <c r="AC880" s="88"/>
      <c r="AD880" s="88"/>
    </row>
    <row r="881" ht="13.5" customHeight="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c r="AA881" s="88"/>
      <c r="AB881" s="88"/>
      <c r="AC881" s="88"/>
      <c r="AD881" s="88"/>
    </row>
    <row r="882" ht="13.5" customHeight="1">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c r="AA882" s="88"/>
      <c r="AB882" s="88"/>
      <c r="AC882" s="88"/>
      <c r="AD882" s="88"/>
    </row>
    <row r="883" ht="13.5" customHeight="1">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c r="AA883" s="88"/>
      <c r="AB883" s="88"/>
      <c r="AC883" s="88"/>
      <c r="AD883" s="88"/>
    </row>
    <row r="884" ht="13.5" customHeight="1">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c r="AA884" s="88"/>
      <c r="AB884" s="88"/>
      <c r="AC884" s="88"/>
      <c r="AD884" s="88"/>
    </row>
    <row r="885" ht="13.5" customHeight="1">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c r="AA885" s="88"/>
      <c r="AB885" s="88"/>
      <c r="AC885" s="88"/>
      <c r="AD885" s="88"/>
    </row>
    <row r="886" ht="13.5" customHeight="1">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c r="AA886" s="88"/>
      <c r="AB886" s="88"/>
      <c r="AC886" s="88"/>
      <c r="AD886" s="88"/>
    </row>
    <row r="887" ht="13.5" customHeight="1">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c r="AA887" s="88"/>
      <c r="AB887" s="88"/>
      <c r="AC887" s="88"/>
      <c r="AD887" s="88"/>
    </row>
    <row r="888" ht="13.5" customHeight="1">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c r="AA888" s="88"/>
      <c r="AB888" s="88"/>
      <c r="AC888" s="88"/>
      <c r="AD888" s="88"/>
    </row>
    <row r="889" ht="13.5" customHeight="1">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c r="AA889" s="88"/>
      <c r="AB889" s="88"/>
      <c r="AC889" s="88"/>
      <c r="AD889" s="88"/>
    </row>
    <row r="890" ht="13.5" customHeight="1">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c r="AA890" s="88"/>
      <c r="AB890" s="88"/>
      <c r="AC890" s="88"/>
      <c r="AD890" s="88"/>
    </row>
    <row r="891" ht="13.5" customHeight="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c r="AA891" s="88"/>
      <c r="AB891" s="88"/>
      <c r="AC891" s="88"/>
      <c r="AD891" s="88"/>
    </row>
    <row r="892" ht="13.5" customHeight="1">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c r="AA892" s="88"/>
      <c r="AB892" s="88"/>
      <c r="AC892" s="88"/>
      <c r="AD892" s="88"/>
    </row>
    <row r="893" ht="13.5" customHeight="1">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c r="AA893" s="88"/>
      <c r="AB893" s="88"/>
      <c r="AC893" s="88"/>
      <c r="AD893" s="88"/>
    </row>
    <row r="894" ht="13.5" customHeight="1">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c r="AA894" s="88"/>
      <c r="AB894" s="88"/>
      <c r="AC894" s="88"/>
      <c r="AD894" s="88"/>
    </row>
    <row r="895" ht="13.5" customHeight="1">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c r="AA895" s="88"/>
      <c r="AB895" s="88"/>
      <c r="AC895" s="88"/>
      <c r="AD895" s="88"/>
    </row>
    <row r="896" ht="13.5" customHeight="1">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c r="AA896" s="88"/>
      <c r="AB896" s="88"/>
      <c r="AC896" s="88"/>
      <c r="AD896" s="88"/>
    </row>
    <row r="897" ht="13.5" customHeight="1">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c r="AA897" s="88"/>
      <c r="AB897" s="88"/>
      <c r="AC897" s="88"/>
      <c r="AD897" s="88"/>
    </row>
    <row r="898" ht="13.5" customHeight="1">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c r="AA898" s="88"/>
      <c r="AB898" s="88"/>
      <c r="AC898" s="88"/>
      <c r="AD898" s="88"/>
    </row>
    <row r="899" ht="13.5" customHeight="1">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c r="AA899" s="88"/>
      <c r="AB899" s="88"/>
      <c r="AC899" s="88"/>
      <c r="AD899" s="88"/>
    </row>
    <row r="900" ht="13.5" customHeight="1">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c r="AA900" s="88"/>
      <c r="AB900" s="88"/>
      <c r="AC900" s="88"/>
      <c r="AD900" s="88"/>
    </row>
    <row r="901" ht="13.5" customHeight="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c r="AA901" s="88"/>
      <c r="AB901" s="88"/>
      <c r="AC901" s="88"/>
      <c r="AD901" s="88"/>
    </row>
    <row r="902" ht="13.5" customHeight="1">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c r="AA902" s="88"/>
      <c r="AB902" s="88"/>
      <c r="AC902" s="88"/>
      <c r="AD902" s="88"/>
    </row>
    <row r="903" ht="13.5" customHeight="1">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c r="AA903" s="88"/>
      <c r="AB903" s="88"/>
      <c r="AC903" s="88"/>
      <c r="AD903" s="88"/>
    </row>
    <row r="904" ht="13.5" customHeight="1">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c r="AA904" s="88"/>
      <c r="AB904" s="88"/>
      <c r="AC904" s="88"/>
      <c r="AD904" s="88"/>
    </row>
    <row r="905" ht="13.5" customHeight="1">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c r="AA905" s="88"/>
      <c r="AB905" s="88"/>
      <c r="AC905" s="88"/>
      <c r="AD905" s="88"/>
    </row>
    <row r="906" ht="13.5" customHeight="1">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c r="AA906" s="88"/>
      <c r="AB906" s="88"/>
      <c r="AC906" s="88"/>
      <c r="AD906" s="88"/>
    </row>
    <row r="907" ht="13.5" customHeight="1">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c r="AA907" s="88"/>
      <c r="AB907" s="88"/>
      <c r="AC907" s="88"/>
      <c r="AD907" s="88"/>
    </row>
    <row r="908" ht="13.5" customHeight="1">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c r="AA908" s="88"/>
      <c r="AB908" s="88"/>
      <c r="AC908" s="88"/>
      <c r="AD908" s="88"/>
    </row>
    <row r="909" ht="13.5" customHeight="1">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c r="AA909" s="88"/>
      <c r="AB909" s="88"/>
      <c r="AC909" s="88"/>
      <c r="AD909" s="88"/>
    </row>
    <row r="910" ht="13.5" customHeight="1">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c r="AA910" s="88"/>
      <c r="AB910" s="88"/>
      <c r="AC910" s="88"/>
      <c r="AD910" s="88"/>
    </row>
    <row r="911" ht="13.5" customHeight="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c r="AA911" s="88"/>
      <c r="AB911" s="88"/>
      <c r="AC911" s="88"/>
      <c r="AD911" s="88"/>
    </row>
    <row r="912" ht="13.5" customHeight="1">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c r="AA912" s="88"/>
      <c r="AB912" s="88"/>
      <c r="AC912" s="88"/>
      <c r="AD912" s="88"/>
    </row>
    <row r="913" ht="13.5" customHeight="1">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c r="AA913" s="88"/>
      <c r="AB913" s="88"/>
      <c r="AC913" s="88"/>
      <c r="AD913" s="88"/>
    </row>
    <row r="914" ht="13.5" customHeight="1">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c r="AA914" s="88"/>
      <c r="AB914" s="88"/>
      <c r="AC914" s="88"/>
      <c r="AD914" s="88"/>
    </row>
    <row r="915" ht="13.5" customHeight="1">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c r="AA915" s="88"/>
      <c r="AB915" s="88"/>
      <c r="AC915" s="88"/>
      <c r="AD915" s="88"/>
    </row>
    <row r="916" ht="13.5" customHeight="1">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c r="AA916" s="88"/>
      <c r="AB916" s="88"/>
      <c r="AC916" s="88"/>
      <c r="AD916" s="88"/>
    </row>
    <row r="917" ht="13.5" customHeight="1">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c r="AA917" s="88"/>
      <c r="AB917" s="88"/>
      <c r="AC917" s="88"/>
      <c r="AD917" s="88"/>
    </row>
    <row r="918" ht="13.5" customHeight="1">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c r="AA918" s="88"/>
      <c r="AB918" s="88"/>
      <c r="AC918" s="88"/>
      <c r="AD918" s="88"/>
    </row>
    <row r="919" ht="13.5" customHeight="1">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c r="AA919" s="88"/>
      <c r="AB919" s="88"/>
      <c r="AC919" s="88"/>
      <c r="AD919" s="88"/>
    </row>
    <row r="920" ht="13.5" customHeight="1">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c r="AA920" s="88"/>
      <c r="AB920" s="88"/>
      <c r="AC920" s="88"/>
      <c r="AD920" s="88"/>
    </row>
    <row r="921" ht="13.5" customHeight="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c r="AA921" s="88"/>
      <c r="AB921" s="88"/>
      <c r="AC921" s="88"/>
      <c r="AD921" s="88"/>
    </row>
    <row r="922" ht="13.5" customHeight="1">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c r="AA922" s="88"/>
      <c r="AB922" s="88"/>
      <c r="AC922" s="88"/>
      <c r="AD922" s="88"/>
    </row>
    <row r="923" ht="13.5" customHeight="1">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c r="AA923" s="88"/>
      <c r="AB923" s="88"/>
      <c r="AC923" s="88"/>
      <c r="AD923" s="88"/>
    </row>
    <row r="924" ht="13.5" customHeight="1">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c r="AA924" s="88"/>
      <c r="AB924" s="88"/>
      <c r="AC924" s="88"/>
      <c r="AD924" s="88"/>
    </row>
    <row r="925" ht="13.5" customHeight="1">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c r="AA925" s="88"/>
      <c r="AB925" s="88"/>
      <c r="AC925" s="88"/>
      <c r="AD925" s="88"/>
    </row>
    <row r="926" ht="13.5" customHeight="1">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c r="AA926" s="88"/>
      <c r="AB926" s="88"/>
      <c r="AC926" s="88"/>
      <c r="AD926" s="88"/>
    </row>
    <row r="927" ht="13.5" customHeight="1">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c r="AA927" s="88"/>
      <c r="AB927" s="88"/>
      <c r="AC927" s="88"/>
      <c r="AD927" s="88"/>
    </row>
    <row r="928" ht="13.5" customHeight="1">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c r="AA928" s="88"/>
      <c r="AB928" s="88"/>
      <c r="AC928" s="88"/>
      <c r="AD928" s="88"/>
    </row>
    <row r="929" ht="13.5" customHeight="1">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c r="AA929" s="88"/>
      <c r="AB929" s="88"/>
      <c r="AC929" s="88"/>
      <c r="AD929" s="88"/>
    </row>
    <row r="930" ht="13.5" customHeight="1">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c r="AA930" s="88"/>
      <c r="AB930" s="88"/>
      <c r="AC930" s="88"/>
      <c r="AD930" s="88"/>
    </row>
    <row r="931" ht="13.5" customHeight="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c r="AA931" s="88"/>
      <c r="AB931" s="88"/>
      <c r="AC931" s="88"/>
      <c r="AD931" s="88"/>
    </row>
    <row r="932" ht="13.5" customHeight="1">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c r="AA932" s="88"/>
      <c r="AB932" s="88"/>
      <c r="AC932" s="88"/>
      <c r="AD932" s="88"/>
    </row>
    <row r="933" ht="13.5" customHeight="1">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c r="AA933" s="88"/>
      <c r="AB933" s="88"/>
      <c r="AC933" s="88"/>
      <c r="AD933" s="88"/>
    </row>
    <row r="934" ht="13.5" customHeight="1">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c r="AA934" s="88"/>
      <c r="AB934" s="88"/>
      <c r="AC934" s="88"/>
      <c r="AD934" s="88"/>
    </row>
    <row r="935" ht="13.5" customHeight="1">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c r="AA935" s="88"/>
      <c r="AB935" s="88"/>
      <c r="AC935" s="88"/>
      <c r="AD935" s="88"/>
    </row>
    <row r="936" ht="13.5" customHeight="1">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c r="AA936" s="88"/>
      <c r="AB936" s="88"/>
      <c r="AC936" s="88"/>
      <c r="AD936" s="88"/>
    </row>
    <row r="937" ht="13.5" customHeight="1">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c r="AA937" s="88"/>
      <c r="AB937" s="88"/>
      <c r="AC937" s="88"/>
      <c r="AD937" s="88"/>
    </row>
    <row r="938" ht="13.5" customHeight="1">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c r="AA938" s="88"/>
      <c r="AB938" s="88"/>
      <c r="AC938" s="88"/>
      <c r="AD938" s="88"/>
    </row>
    <row r="939" ht="13.5" customHeight="1">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c r="AA939" s="88"/>
      <c r="AB939" s="88"/>
      <c r="AC939" s="88"/>
      <c r="AD939" s="88"/>
    </row>
    <row r="940" ht="13.5" customHeight="1">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c r="AA940" s="88"/>
      <c r="AB940" s="88"/>
      <c r="AC940" s="88"/>
      <c r="AD940" s="88"/>
    </row>
    <row r="941" ht="13.5" customHeight="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c r="AA941" s="88"/>
      <c r="AB941" s="88"/>
      <c r="AC941" s="88"/>
      <c r="AD941" s="88"/>
    </row>
    <row r="942" ht="13.5" customHeight="1">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c r="AA942" s="88"/>
      <c r="AB942" s="88"/>
      <c r="AC942" s="88"/>
      <c r="AD942" s="88"/>
    </row>
    <row r="943" ht="13.5" customHeight="1">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c r="AA943" s="88"/>
      <c r="AB943" s="88"/>
      <c r="AC943" s="88"/>
      <c r="AD943" s="88"/>
    </row>
    <row r="944" ht="13.5" customHeight="1">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c r="AA944" s="88"/>
      <c r="AB944" s="88"/>
      <c r="AC944" s="88"/>
      <c r="AD944" s="88"/>
    </row>
    <row r="945" ht="13.5" customHeight="1">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c r="AA945" s="88"/>
      <c r="AB945" s="88"/>
      <c r="AC945" s="88"/>
      <c r="AD945" s="88"/>
    </row>
    <row r="946" ht="13.5" customHeight="1">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c r="AA946" s="88"/>
      <c r="AB946" s="88"/>
      <c r="AC946" s="88"/>
      <c r="AD946" s="88"/>
    </row>
    <row r="947" ht="13.5" customHeight="1">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c r="AA947" s="88"/>
      <c r="AB947" s="88"/>
      <c r="AC947" s="88"/>
      <c r="AD947" s="88"/>
    </row>
    <row r="948" ht="13.5" customHeight="1">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c r="AA948" s="88"/>
      <c r="AB948" s="88"/>
      <c r="AC948" s="88"/>
      <c r="AD948" s="88"/>
    </row>
    <row r="949" ht="13.5" customHeight="1">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c r="AA949" s="88"/>
      <c r="AB949" s="88"/>
      <c r="AC949" s="88"/>
      <c r="AD949" s="88"/>
    </row>
    <row r="950" ht="13.5" customHeight="1">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c r="AA950" s="88"/>
      <c r="AB950" s="88"/>
      <c r="AC950" s="88"/>
      <c r="AD950" s="88"/>
    </row>
    <row r="951" ht="13.5" customHeight="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c r="AA951" s="88"/>
      <c r="AB951" s="88"/>
      <c r="AC951" s="88"/>
      <c r="AD951" s="88"/>
    </row>
    <row r="952" ht="13.5" customHeight="1">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c r="AA952" s="88"/>
      <c r="AB952" s="88"/>
      <c r="AC952" s="88"/>
      <c r="AD952" s="88"/>
    </row>
    <row r="953" ht="13.5" customHeight="1">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c r="AA953" s="88"/>
      <c r="AB953" s="88"/>
      <c r="AC953" s="88"/>
      <c r="AD953" s="88"/>
    </row>
    <row r="954" ht="13.5" customHeight="1">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c r="AA954" s="88"/>
      <c r="AB954" s="88"/>
      <c r="AC954" s="88"/>
      <c r="AD954" s="88"/>
    </row>
    <row r="955" ht="13.5" customHeight="1">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c r="AA955" s="88"/>
      <c r="AB955" s="88"/>
      <c r="AC955" s="88"/>
      <c r="AD955" s="88"/>
    </row>
    <row r="956" ht="13.5" customHeight="1">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c r="AA956" s="88"/>
      <c r="AB956" s="88"/>
      <c r="AC956" s="88"/>
      <c r="AD956" s="88"/>
    </row>
    <row r="957" ht="13.5" customHeight="1">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c r="AA957" s="88"/>
      <c r="AB957" s="88"/>
      <c r="AC957" s="88"/>
      <c r="AD957" s="88"/>
    </row>
    <row r="958" ht="13.5" customHeight="1">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c r="AA958" s="88"/>
      <c r="AB958" s="88"/>
      <c r="AC958" s="88"/>
      <c r="AD958" s="88"/>
    </row>
    <row r="959" ht="13.5" customHeight="1">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c r="AA959" s="88"/>
      <c r="AB959" s="88"/>
      <c r="AC959" s="88"/>
      <c r="AD959" s="88"/>
    </row>
    <row r="960" ht="13.5" customHeight="1">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c r="AA960" s="88"/>
      <c r="AB960" s="88"/>
      <c r="AC960" s="88"/>
      <c r="AD960" s="88"/>
    </row>
    <row r="961" ht="13.5" customHeight="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c r="AA961" s="88"/>
      <c r="AB961" s="88"/>
      <c r="AC961" s="88"/>
      <c r="AD961" s="88"/>
    </row>
    <row r="962" ht="13.5" customHeight="1">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c r="AA962" s="88"/>
      <c r="AB962" s="88"/>
      <c r="AC962" s="88"/>
      <c r="AD962" s="88"/>
    </row>
    <row r="963" ht="13.5" customHeight="1">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c r="AA963" s="88"/>
      <c r="AB963" s="88"/>
      <c r="AC963" s="88"/>
      <c r="AD963" s="88"/>
    </row>
    <row r="964" ht="13.5" customHeight="1">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c r="AA964" s="88"/>
      <c r="AB964" s="88"/>
      <c r="AC964" s="88"/>
      <c r="AD964" s="88"/>
    </row>
    <row r="965" ht="13.5" customHeight="1">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c r="AA965" s="88"/>
      <c r="AB965" s="88"/>
      <c r="AC965" s="88"/>
      <c r="AD965" s="88"/>
    </row>
    <row r="966" ht="13.5" customHeight="1">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c r="AA966" s="88"/>
      <c r="AB966" s="88"/>
      <c r="AC966" s="88"/>
      <c r="AD966" s="88"/>
    </row>
    <row r="967" ht="13.5" customHeight="1">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c r="AA967" s="88"/>
      <c r="AB967" s="88"/>
      <c r="AC967" s="88"/>
      <c r="AD967" s="88"/>
    </row>
    <row r="968" ht="13.5" customHeight="1">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c r="AA968" s="88"/>
      <c r="AB968" s="88"/>
      <c r="AC968" s="88"/>
      <c r="AD968" s="88"/>
    </row>
    <row r="969" ht="13.5" customHeight="1">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c r="AA969" s="88"/>
      <c r="AB969" s="88"/>
      <c r="AC969" s="88"/>
      <c r="AD969" s="88"/>
    </row>
    <row r="970" ht="13.5" customHeight="1">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c r="AA970" s="88"/>
      <c r="AB970" s="88"/>
      <c r="AC970" s="88"/>
      <c r="AD970" s="88"/>
    </row>
    <row r="971" ht="13.5" customHeight="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c r="AA971" s="88"/>
      <c r="AB971" s="88"/>
      <c r="AC971" s="88"/>
      <c r="AD971" s="88"/>
    </row>
    <row r="972" ht="13.5" customHeight="1">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c r="AA972" s="88"/>
      <c r="AB972" s="88"/>
      <c r="AC972" s="88"/>
      <c r="AD972" s="88"/>
    </row>
    <row r="973" ht="13.5" customHeight="1">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c r="AA973" s="88"/>
      <c r="AB973" s="88"/>
      <c r="AC973" s="88"/>
      <c r="AD973" s="88"/>
    </row>
    <row r="974" ht="13.5" customHeight="1">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c r="AA974" s="88"/>
      <c r="AB974" s="88"/>
      <c r="AC974" s="88"/>
      <c r="AD974" s="88"/>
    </row>
    <row r="975" ht="13.5" customHeight="1">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c r="AA975" s="88"/>
      <c r="AB975" s="88"/>
      <c r="AC975" s="88"/>
      <c r="AD975" s="88"/>
    </row>
    <row r="976" ht="13.5" customHeight="1">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c r="AA976" s="88"/>
      <c r="AB976" s="88"/>
      <c r="AC976" s="88"/>
      <c r="AD976" s="88"/>
    </row>
    <row r="977" ht="13.5" customHeight="1">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c r="AA977" s="88"/>
      <c r="AB977" s="88"/>
      <c r="AC977" s="88"/>
      <c r="AD977" s="88"/>
    </row>
    <row r="978" ht="13.5" customHeight="1">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c r="AA978" s="88"/>
      <c r="AB978" s="88"/>
      <c r="AC978" s="88"/>
      <c r="AD978" s="88"/>
    </row>
    <row r="979" ht="13.5" customHeight="1">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c r="AA979" s="88"/>
      <c r="AB979" s="88"/>
      <c r="AC979" s="88"/>
      <c r="AD979" s="88"/>
    </row>
    <row r="980" ht="13.5" customHeight="1">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c r="AA980" s="88"/>
      <c r="AB980" s="88"/>
      <c r="AC980" s="88"/>
      <c r="AD980" s="88"/>
    </row>
    <row r="981" ht="13.5" customHeight="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c r="AA981" s="88"/>
      <c r="AB981" s="88"/>
      <c r="AC981" s="88"/>
      <c r="AD981" s="88"/>
    </row>
    <row r="982" ht="13.5" customHeight="1">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c r="AA982" s="88"/>
      <c r="AB982" s="88"/>
      <c r="AC982" s="88"/>
      <c r="AD982" s="88"/>
    </row>
    <row r="983" ht="13.5" customHeight="1">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c r="AA983" s="88"/>
      <c r="AB983" s="88"/>
      <c r="AC983" s="88"/>
      <c r="AD983" s="88"/>
    </row>
    <row r="984" ht="13.5" customHeight="1">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c r="AA984" s="88"/>
      <c r="AB984" s="88"/>
      <c r="AC984" s="88"/>
      <c r="AD984" s="88"/>
    </row>
    <row r="985" ht="13.5" customHeight="1">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c r="AA985" s="88"/>
      <c r="AB985" s="88"/>
      <c r="AC985" s="88"/>
      <c r="AD985" s="88"/>
    </row>
    <row r="986" ht="13.5" customHeight="1">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c r="AA986" s="88"/>
      <c r="AB986" s="88"/>
      <c r="AC986" s="88"/>
      <c r="AD986" s="88"/>
    </row>
    <row r="987" ht="13.5" customHeight="1">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c r="AA987" s="88"/>
      <c r="AB987" s="88"/>
      <c r="AC987" s="88"/>
      <c r="AD987" s="88"/>
    </row>
    <row r="988" ht="13.5" customHeight="1">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c r="AA988" s="88"/>
      <c r="AB988" s="88"/>
      <c r="AC988" s="88"/>
      <c r="AD988" s="88"/>
    </row>
    <row r="989" ht="13.5" customHeight="1">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c r="AA989" s="88"/>
      <c r="AB989" s="88"/>
      <c r="AC989" s="88"/>
      <c r="AD989" s="88"/>
    </row>
    <row r="990" ht="13.5" customHeight="1">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c r="AA990" s="88"/>
      <c r="AB990" s="88"/>
      <c r="AC990" s="88"/>
      <c r="AD990" s="88"/>
    </row>
    <row r="991" ht="13.5" customHeight="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c r="AA991" s="88"/>
      <c r="AB991" s="88"/>
      <c r="AC991" s="88"/>
      <c r="AD991" s="88"/>
    </row>
    <row r="992" ht="13.5" customHeight="1">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c r="AA992" s="88"/>
      <c r="AB992" s="88"/>
      <c r="AC992" s="88"/>
      <c r="AD992" s="88"/>
    </row>
    <row r="993" ht="13.5" customHeight="1">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c r="AA993" s="88"/>
      <c r="AB993" s="88"/>
      <c r="AC993" s="88"/>
      <c r="AD993" s="88"/>
    </row>
    <row r="994" ht="13.5" customHeight="1">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c r="AA994" s="88"/>
      <c r="AB994" s="88"/>
      <c r="AC994" s="88"/>
      <c r="AD994" s="88"/>
    </row>
    <row r="995" ht="13.5" customHeight="1">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c r="AA995" s="88"/>
      <c r="AB995" s="88"/>
      <c r="AC995" s="88"/>
      <c r="AD995" s="88"/>
    </row>
    <row r="996" ht="13.5" customHeight="1">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c r="AA996" s="88"/>
      <c r="AB996" s="88"/>
      <c r="AC996" s="88"/>
      <c r="AD996" s="88"/>
    </row>
    <row r="997" ht="13.5" customHeight="1">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c r="AA997" s="88"/>
      <c r="AB997" s="88"/>
      <c r="AC997" s="88"/>
      <c r="AD997" s="88"/>
    </row>
    <row r="998" ht="13.5" customHeight="1">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c r="AA998" s="88"/>
      <c r="AB998" s="88"/>
      <c r="AC998" s="88"/>
      <c r="AD998" s="88"/>
    </row>
    <row r="999" ht="13.5" customHeight="1">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c r="AA999" s="88"/>
      <c r="AB999" s="88"/>
      <c r="AC999" s="88"/>
      <c r="AD999" s="88"/>
    </row>
    <row r="1000" ht="13.5" customHeight="1">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c r="AA1000" s="88"/>
      <c r="AB1000" s="88"/>
      <c r="AC1000" s="88"/>
      <c r="AD1000" s="88"/>
    </row>
    <row r="1001" ht="13.5" customHeight="1">
      <c r="A1001" s="88"/>
      <c r="B1001" s="88"/>
      <c r="C1001" s="88"/>
      <c r="D1001" s="88"/>
      <c r="E1001" s="88"/>
      <c r="F1001" s="88"/>
      <c r="G1001" s="88"/>
      <c r="H1001" s="88"/>
      <c r="I1001" s="88"/>
      <c r="J1001" s="88"/>
      <c r="K1001" s="88"/>
      <c r="L1001" s="88"/>
      <c r="M1001" s="88"/>
      <c r="N1001" s="88"/>
      <c r="O1001" s="88"/>
      <c r="P1001" s="88"/>
      <c r="Q1001" s="88"/>
      <c r="R1001" s="88"/>
      <c r="S1001" s="88"/>
      <c r="T1001" s="88"/>
      <c r="U1001" s="88"/>
      <c r="V1001" s="88"/>
      <c r="W1001" s="88"/>
      <c r="X1001" s="88"/>
      <c r="Y1001" s="88"/>
      <c r="Z1001" s="88"/>
      <c r="AA1001" s="88"/>
      <c r="AB1001" s="88"/>
      <c r="AC1001" s="88"/>
      <c r="AD1001" s="88"/>
    </row>
    <row r="1002" ht="13.5" customHeight="1">
      <c r="A1002" s="88"/>
      <c r="B1002" s="88"/>
      <c r="C1002" s="88"/>
      <c r="D1002" s="88"/>
      <c r="E1002" s="88"/>
      <c r="F1002" s="88"/>
      <c r="G1002" s="88"/>
      <c r="H1002" s="88"/>
      <c r="I1002" s="88"/>
      <c r="J1002" s="88"/>
      <c r="K1002" s="88"/>
      <c r="L1002" s="88"/>
      <c r="M1002" s="88"/>
      <c r="N1002" s="88"/>
      <c r="O1002" s="88"/>
      <c r="P1002" s="88"/>
      <c r="Q1002" s="88"/>
      <c r="R1002" s="88"/>
      <c r="S1002" s="88"/>
      <c r="T1002" s="88"/>
      <c r="U1002" s="88"/>
      <c r="V1002" s="88"/>
      <c r="W1002" s="88"/>
      <c r="X1002" s="88"/>
      <c r="Y1002" s="88"/>
      <c r="Z1002" s="88"/>
      <c r="AA1002" s="88"/>
      <c r="AB1002" s="88"/>
      <c r="AC1002" s="88"/>
      <c r="AD1002" s="88"/>
    </row>
    <row r="1003" ht="13.5" customHeight="1">
      <c r="A1003" s="88"/>
      <c r="B1003" s="88"/>
      <c r="C1003" s="88"/>
      <c r="D1003" s="88"/>
      <c r="E1003" s="88"/>
      <c r="F1003" s="88"/>
      <c r="G1003" s="88"/>
      <c r="H1003" s="88"/>
      <c r="I1003" s="88"/>
      <c r="J1003" s="88"/>
      <c r="K1003" s="88"/>
      <c r="L1003" s="88"/>
      <c r="M1003" s="88"/>
      <c r="N1003" s="88"/>
      <c r="O1003" s="88"/>
      <c r="P1003" s="88"/>
      <c r="Q1003" s="88"/>
      <c r="R1003" s="88"/>
      <c r="S1003" s="88"/>
      <c r="T1003" s="88"/>
      <c r="U1003" s="88"/>
      <c r="V1003" s="88"/>
      <c r="W1003" s="88"/>
      <c r="X1003" s="88"/>
      <c r="Y1003" s="88"/>
      <c r="Z1003" s="88"/>
      <c r="AA1003" s="88"/>
      <c r="AB1003" s="88"/>
      <c r="AC1003" s="88"/>
      <c r="AD1003" s="88"/>
    </row>
    <row r="1004" ht="13.5" customHeight="1">
      <c r="A1004" s="88"/>
      <c r="B1004" s="88"/>
      <c r="C1004" s="88"/>
      <c r="D1004" s="88"/>
      <c r="E1004" s="88"/>
      <c r="F1004" s="88"/>
      <c r="G1004" s="88"/>
      <c r="H1004" s="88"/>
      <c r="I1004" s="88"/>
      <c r="J1004" s="88"/>
      <c r="K1004" s="88"/>
      <c r="L1004" s="88"/>
      <c r="M1004" s="88"/>
      <c r="N1004" s="88"/>
      <c r="O1004" s="88"/>
      <c r="P1004" s="88"/>
      <c r="Q1004" s="88"/>
      <c r="R1004" s="88"/>
      <c r="S1004" s="88"/>
      <c r="T1004" s="88"/>
      <c r="U1004" s="88"/>
      <c r="V1004" s="88"/>
      <c r="W1004" s="88"/>
      <c r="X1004" s="88"/>
      <c r="Y1004" s="88"/>
      <c r="Z1004" s="88"/>
      <c r="AA1004" s="88"/>
      <c r="AB1004" s="88"/>
      <c r="AC1004" s="88"/>
      <c r="AD1004" s="88"/>
    </row>
    <row r="1005" ht="13.5" customHeight="1">
      <c r="A1005" s="88"/>
      <c r="B1005" s="88"/>
      <c r="C1005" s="88"/>
      <c r="D1005" s="88"/>
      <c r="E1005" s="88"/>
      <c r="F1005" s="88"/>
      <c r="G1005" s="88"/>
      <c r="H1005" s="88"/>
      <c r="I1005" s="88"/>
      <c r="J1005" s="88"/>
      <c r="K1005" s="88"/>
      <c r="L1005" s="88"/>
      <c r="M1005" s="88"/>
      <c r="N1005" s="88"/>
      <c r="O1005" s="88"/>
      <c r="P1005" s="88"/>
      <c r="Q1005" s="88"/>
      <c r="R1005" s="88"/>
      <c r="S1005" s="88"/>
      <c r="T1005" s="88"/>
      <c r="U1005" s="88"/>
      <c r="V1005" s="88"/>
      <c r="W1005" s="88"/>
      <c r="X1005" s="88"/>
      <c r="Y1005" s="88"/>
      <c r="Z1005" s="88"/>
      <c r="AA1005" s="88"/>
      <c r="AB1005" s="88"/>
      <c r="AC1005" s="88"/>
      <c r="AD1005" s="88"/>
    </row>
    <row r="1006" ht="13.5" customHeight="1">
      <c r="A1006" s="88"/>
      <c r="B1006" s="88"/>
      <c r="C1006" s="88"/>
      <c r="D1006" s="88"/>
      <c r="E1006" s="88"/>
      <c r="F1006" s="88"/>
      <c r="G1006" s="88"/>
      <c r="H1006" s="88"/>
      <c r="I1006" s="88"/>
      <c r="J1006" s="88"/>
      <c r="K1006" s="88"/>
      <c r="L1006" s="88"/>
      <c r="M1006" s="88"/>
      <c r="N1006" s="88"/>
      <c r="O1006" s="88"/>
      <c r="P1006" s="88"/>
      <c r="Q1006" s="88"/>
      <c r="R1006" s="88"/>
      <c r="S1006" s="88"/>
      <c r="T1006" s="88"/>
      <c r="U1006" s="88"/>
      <c r="V1006" s="88"/>
      <c r="W1006" s="88"/>
      <c r="X1006" s="88"/>
      <c r="Y1006" s="88"/>
      <c r="Z1006" s="88"/>
      <c r="AA1006" s="88"/>
      <c r="AB1006" s="88"/>
      <c r="AC1006" s="88"/>
      <c r="AD1006" s="88"/>
    </row>
    <row r="1007" ht="13.5" customHeight="1">
      <c r="A1007" s="88"/>
      <c r="B1007" s="88"/>
      <c r="C1007" s="88"/>
      <c r="D1007" s="88"/>
      <c r="E1007" s="88"/>
      <c r="F1007" s="88"/>
      <c r="G1007" s="88"/>
      <c r="H1007" s="88"/>
      <c r="I1007" s="88"/>
      <c r="J1007" s="88"/>
      <c r="K1007" s="88"/>
      <c r="L1007" s="88"/>
      <c r="M1007" s="88"/>
      <c r="N1007" s="88"/>
      <c r="O1007" s="88"/>
      <c r="P1007" s="88"/>
      <c r="Q1007" s="88"/>
      <c r="R1007" s="88"/>
      <c r="S1007" s="88"/>
      <c r="T1007" s="88"/>
      <c r="U1007" s="88"/>
      <c r="V1007" s="88"/>
      <c r="W1007" s="88"/>
      <c r="X1007" s="88"/>
      <c r="Y1007" s="88"/>
      <c r="Z1007" s="88"/>
      <c r="AA1007" s="88"/>
      <c r="AB1007" s="88"/>
      <c r="AC1007" s="88"/>
      <c r="AD1007" s="88"/>
    </row>
    <row r="1008" ht="13.5" customHeight="1">
      <c r="A1008" s="88"/>
      <c r="B1008" s="88"/>
      <c r="C1008" s="88"/>
      <c r="D1008" s="88"/>
      <c r="E1008" s="88"/>
      <c r="F1008" s="88"/>
      <c r="G1008" s="88"/>
      <c r="H1008" s="88"/>
      <c r="I1008" s="88"/>
      <c r="J1008" s="88"/>
      <c r="K1008" s="88"/>
      <c r="L1008" s="88"/>
      <c r="M1008" s="88"/>
      <c r="N1008" s="88"/>
      <c r="O1008" s="88"/>
      <c r="P1008" s="88"/>
      <c r="Q1008" s="88"/>
      <c r="R1008" s="88"/>
      <c r="S1008" s="88"/>
      <c r="T1008" s="88"/>
      <c r="U1008" s="88"/>
      <c r="V1008" s="88"/>
      <c r="W1008" s="88"/>
      <c r="X1008" s="88"/>
      <c r="Y1008" s="88"/>
      <c r="Z1008" s="88"/>
      <c r="AA1008" s="88"/>
      <c r="AB1008" s="88"/>
      <c r="AC1008" s="88"/>
      <c r="AD1008" s="88"/>
    </row>
    <row r="1009" ht="13.5" customHeight="1">
      <c r="A1009" s="88"/>
      <c r="B1009" s="88"/>
      <c r="C1009" s="88"/>
      <c r="D1009" s="88"/>
      <c r="E1009" s="88"/>
      <c r="F1009" s="88"/>
      <c r="G1009" s="88"/>
      <c r="H1009" s="88"/>
      <c r="I1009" s="88"/>
      <c r="J1009" s="88"/>
      <c r="K1009" s="88"/>
      <c r="L1009" s="88"/>
      <c r="M1009" s="88"/>
      <c r="N1009" s="88"/>
      <c r="O1009" s="88"/>
      <c r="P1009" s="88"/>
      <c r="Q1009" s="88"/>
      <c r="R1009" s="88"/>
      <c r="S1009" s="88"/>
      <c r="T1009" s="88"/>
      <c r="U1009" s="88"/>
      <c r="V1009" s="88"/>
      <c r="W1009" s="88"/>
      <c r="X1009" s="88"/>
      <c r="Y1009" s="88"/>
      <c r="Z1009" s="88"/>
      <c r="AA1009" s="88"/>
      <c r="AB1009" s="88"/>
      <c r="AC1009" s="88"/>
      <c r="AD1009" s="88"/>
    </row>
    <row r="1010" ht="13.5" customHeight="1">
      <c r="A1010" s="88"/>
      <c r="B1010" s="88"/>
      <c r="C1010" s="88"/>
      <c r="D1010" s="88"/>
      <c r="E1010" s="88"/>
      <c r="F1010" s="88"/>
      <c r="G1010" s="88"/>
      <c r="H1010" s="88"/>
      <c r="I1010" s="88"/>
      <c r="J1010" s="88"/>
      <c r="K1010" s="88"/>
      <c r="L1010" s="88"/>
      <c r="M1010" s="88"/>
      <c r="N1010" s="88"/>
      <c r="O1010" s="88"/>
      <c r="P1010" s="88"/>
      <c r="Q1010" s="88"/>
      <c r="R1010" s="88"/>
      <c r="S1010" s="88"/>
      <c r="T1010" s="88"/>
      <c r="U1010" s="88"/>
      <c r="V1010" s="88"/>
      <c r="W1010" s="88"/>
      <c r="X1010" s="88"/>
      <c r="Y1010" s="88"/>
      <c r="Z1010" s="88"/>
      <c r="AA1010" s="88"/>
      <c r="AB1010" s="88"/>
      <c r="AC1010" s="88"/>
      <c r="AD1010" s="88"/>
    </row>
    <row r="1011" ht="13.5" customHeight="1">
      <c r="A1011" s="88"/>
      <c r="B1011" s="88"/>
      <c r="C1011" s="88"/>
      <c r="D1011" s="88"/>
      <c r="E1011" s="88"/>
      <c r="F1011" s="88"/>
      <c r="G1011" s="88"/>
      <c r="H1011" s="88"/>
      <c r="I1011" s="88"/>
      <c r="J1011" s="88"/>
      <c r="K1011" s="88"/>
      <c r="L1011" s="88"/>
      <c r="M1011" s="88"/>
      <c r="N1011" s="88"/>
      <c r="O1011" s="88"/>
      <c r="P1011" s="88"/>
      <c r="Q1011" s="88"/>
      <c r="R1011" s="88"/>
      <c r="S1011" s="88"/>
      <c r="T1011" s="88"/>
      <c r="U1011" s="88"/>
      <c r="V1011" s="88"/>
      <c r="W1011" s="88"/>
      <c r="X1011" s="88"/>
      <c r="Y1011" s="88"/>
      <c r="Z1011" s="88"/>
      <c r="AA1011" s="88"/>
      <c r="AB1011" s="88"/>
      <c r="AC1011" s="88"/>
      <c r="AD1011" s="88"/>
    </row>
    <row r="1012" ht="13.5" customHeight="1">
      <c r="A1012" s="88"/>
      <c r="B1012" s="88"/>
      <c r="C1012" s="88"/>
      <c r="D1012" s="88"/>
      <c r="E1012" s="88"/>
      <c r="F1012" s="88"/>
      <c r="G1012" s="88"/>
      <c r="H1012" s="88"/>
      <c r="I1012" s="88"/>
      <c r="J1012" s="88"/>
      <c r="K1012" s="88"/>
      <c r="L1012" s="88"/>
      <c r="M1012" s="88"/>
      <c r="N1012" s="88"/>
      <c r="O1012" s="88"/>
      <c r="P1012" s="88"/>
      <c r="Q1012" s="88"/>
      <c r="R1012" s="88"/>
      <c r="S1012" s="88"/>
      <c r="T1012" s="88"/>
      <c r="U1012" s="88"/>
      <c r="V1012" s="88"/>
      <c r="W1012" s="88"/>
      <c r="X1012" s="88"/>
      <c r="Y1012" s="88"/>
      <c r="Z1012" s="88"/>
      <c r="AA1012" s="88"/>
      <c r="AB1012" s="88"/>
      <c r="AC1012" s="88"/>
      <c r="AD1012" s="88"/>
    </row>
    <row r="1013" ht="13.5" customHeight="1">
      <c r="A1013" s="88"/>
      <c r="B1013" s="88"/>
      <c r="C1013" s="88"/>
      <c r="D1013" s="88"/>
      <c r="E1013" s="88"/>
      <c r="F1013" s="88"/>
      <c r="G1013" s="88"/>
      <c r="H1013" s="88"/>
      <c r="I1013" s="88"/>
      <c r="J1013" s="88"/>
      <c r="K1013" s="88"/>
      <c r="L1013" s="88"/>
      <c r="M1013" s="88"/>
      <c r="N1013" s="88"/>
      <c r="O1013" s="88"/>
      <c r="P1013" s="88"/>
      <c r="Q1013" s="88"/>
      <c r="R1013" s="88"/>
      <c r="S1013" s="88"/>
      <c r="T1013" s="88"/>
      <c r="U1013" s="88"/>
      <c r="V1013" s="88"/>
      <c r="W1013" s="88"/>
      <c r="X1013" s="88"/>
      <c r="Y1013" s="88"/>
      <c r="Z1013" s="88"/>
      <c r="AA1013" s="88"/>
      <c r="AB1013" s="88"/>
      <c r="AC1013" s="88"/>
      <c r="AD1013" s="88"/>
    </row>
    <row r="1014" ht="13.5" customHeight="1">
      <c r="A1014" s="88"/>
      <c r="B1014" s="88"/>
      <c r="C1014" s="88"/>
      <c r="D1014" s="88"/>
      <c r="E1014" s="88"/>
      <c r="F1014" s="88"/>
      <c r="G1014" s="88"/>
      <c r="H1014" s="88"/>
      <c r="I1014" s="88"/>
      <c r="J1014" s="88"/>
      <c r="K1014" s="88"/>
      <c r="L1014" s="88"/>
      <c r="M1014" s="88"/>
      <c r="N1014" s="88"/>
      <c r="O1014" s="88"/>
      <c r="P1014" s="88"/>
      <c r="Q1014" s="88"/>
      <c r="R1014" s="88"/>
      <c r="S1014" s="88"/>
      <c r="T1014" s="88"/>
      <c r="U1014" s="88"/>
      <c r="V1014" s="88"/>
      <c r="W1014" s="88"/>
      <c r="X1014" s="88"/>
      <c r="Y1014" s="88"/>
      <c r="Z1014" s="88"/>
      <c r="AA1014" s="88"/>
      <c r="AB1014" s="88"/>
      <c r="AC1014" s="88"/>
      <c r="AD1014" s="88"/>
    </row>
    <row r="1015" ht="13.5" customHeight="1">
      <c r="A1015" s="88"/>
      <c r="B1015" s="88"/>
      <c r="C1015" s="88"/>
      <c r="D1015" s="88"/>
      <c r="E1015" s="88"/>
      <c r="F1015" s="88"/>
      <c r="G1015" s="88"/>
      <c r="H1015" s="88"/>
      <c r="I1015" s="88"/>
      <c r="J1015" s="88"/>
      <c r="K1015" s="88"/>
      <c r="L1015" s="88"/>
      <c r="M1015" s="88"/>
      <c r="N1015" s="88"/>
      <c r="O1015" s="88"/>
      <c r="P1015" s="88"/>
      <c r="Q1015" s="88"/>
      <c r="R1015" s="88"/>
      <c r="S1015" s="88"/>
      <c r="T1015" s="88"/>
      <c r="U1015" s="88"/>
      <c r="V1015" s="88"/>
      <c r="W1015" s="88"/>
      <c r="X1015" s="88"/>
      <c r="Y1015" s="88"/>
      <c r="Z1015" s="88"/>
      <c r="AA1015" s="88"/>
      <c r="AB1015" s="88"/>
      <c r="AC1015" s="88"/>
      <c r="AD1015" s="88"/>
    </row>
    <row r="1016" ht="13.5" customHeight="1">
      <c r="A1016" s="88"/>
      <c r="B1016" s="88"/>
      <c r="C1016" s="88"/>
      <c r="D1016" s="88"/>
      <c r="E1016" s="88"/>
      <c r="F1016" s="88"/>
      <c r="G1016" s="88"/>
      <c r="H1016" s="88"/>
      <c r="I1016" s="88"/>
      <c r="J1016" s="88"/>
      <c r="K1016" s="88"/>
      <c r="L1016" s="88"/>
      <c r="M1016" s="88"/>
      <c r="N1016" s="88"/>
      <c r="O1016" s="88"/>
      <c r="P1016" s="88"/>
      <c r="Q1016" s="88"/>
      <c r="R1016" s="88"/>
      <c r="S1016" s="88"/>
      <c r="T1016" s="88"/>
      <c r="U1016" s="88"/>
      <c r="V1016" s="88"/>
      <c r="W1016" s="88"/>
      <c r="X1016" s="88"/>
      <c r="Y1016" s="88"/>
      <c r="Z1016" s="88"/>
      <c r="AA1016" s="88"/>
      <c r="AB1016" s="88"/>
      <c r="AC1016" s="88"/>
      <c r="AD1016" s="88"/>
    </row>
    <row r="1017" ht="13.5" customHeight="1">
      <c r="A1017" s="88"/>
      <c r="B1017" s="88"/>
      <c r="C1017" s="88"/>
      <c r="D1017" s="88"/>
      <c r="E1017" s="88"/>
      <c r="F1017" s="88"/>
      <c r="G1017" s="88"/>
      <c r="H1017" s="88"/>
      <c r="I1017" s="88"/>
      <c r="J1017" s="88"/>
      <c r="K1017" s="88"/>
      <c r="L1017" s="88"/>
      <c r="M1017" s="88"/>
      <c r="N1017" s="88"/>
      <c r="O1017" s="88"/>
      <c r="P1017" s="88"/>
      <c r="Q1017" s="88"/>
      <c r="R1017" s="88"/>
      <c r="S1017" s="88"/>
      <c r="T1017" s="88"/>
      <c r="U1017" s="88"/>
      <c r="V1017" s="88"/>
      <c r="W1017" s="88"/>
      <c r="X1017" s="88"/>
      <c r="Y1017" s="88"/>
      <c r="Z1017" s="88"/>
      <c r="AA1017" s="88"/>
      <c r="AB1017" s="88"/>
      <c r="AC1017" s="88"/>
      <c r="AD1017" s="88"/>
    </row>
    <row r="1018" ht="13.5" customHeight="1">
      <c r="A1018" s="88"/>
      <c r="B1018" s="88"/>
      <c r="C1018" s="88"/>
      <c r="D1018" s="88"/>
      <c r="E1018" s="88"/>
      <c r="F1018" s="88"/>
      <c r="G1018" s="88"/>
      <c r="H1018" s="88"/>
      <c r="I1018" s="88"/>
      <c r="J1018" s="88"/>
      <c r="K1018" s="88"/>
      <c r="L1018" s="88"/>
      <c r="M1018" s="88"/>
      <c r="N1018" s="88"/>
      <c r="O1018" s="88"/>
      <c r="P1018" s="88"/>
      <c r="Q1018" s="88"/>
      <c r="R1018" s="88"/>
      <c r="S1018" s="88"/>
      <c r="T1018" s="88"/>
      <c r="U1018" s="88"/>
      <c r="V1018" s="88"/>
      <c r="W1018" s="88"/>
      <c r="X1018" s="88"/>
      <c r="Y1018" s="88"/>
      <c r="Z1018" s="88"/>
      <c r="AA1018" s="88"/>
      <c r="AB1018" s="88"/>
      <c r="AC1018" s="88"/>
      <c r="AD1018" s="88"/>
    </row>
    <row r="1019" ht="13.5" customHeight="1">
      <c r="A1019" s="88"/>
      <c r="B1019" s="88"/>
      <c r="C1019" s="88"/>
      <c r="D1019" s="88"/>
      <c r="E1019" s="88"/>
      <c r="F1019" s="88"/>
      <c r="G1019" s="88"/>
      <c r="H1019" s="88"/>
      <c r="I1019" s="88"/>
      <c r="J1019" s="88"/>
      <c r="K1019" s="88"/>
      <c r="L1019" s="88"/>
      <c r="M1019" s="88"/>
      <c r="N1019" s="88"/>
      <c r="O1019" s="88"/>
      <c r="P1019" s="88"/>
      <c r="Q1019" s="88"/>
      <c r="R1019" s="88"/>
      <c r="S1019" s="88"/>
      <c r="T1019" s="88"/>
      <c r="U1019" s="88"/>
      <c r="V1019" s="88"/>
      <c r="W1019" s="88"/>
      <c r="X1019" s="88"/>
      <c r="Y1019" s="88"/>
      <c r="Z1019" s="88"/>
      <c r="AA1019" s="88"/>
      <c r="AB1019" s="88"/>
      <c r="AC1019" s="88"/>
      <c r="AD1019" s="88"/>
    </row>
    <row r="1020" ht="13.5" customHeight="1">
      <c r="A1020" s="88"/>
      <c r="B1020" s="88"/>
      <c r="C1020" s="88"/>
      <c r="D1020" s="88"/>
      <c r="E1020" s="88"/>
      <c r="F1020" s="88"/>
      <c r="G1020" s="88"/>
      <c r="H1020" s="88"/>
      <c r="I1020" s="88"/>
      <c r="J1020" s="88"/>
      <c r="K1020" s="88"/>
      <c r="L1020" s="88"/>
      <c r="M1020" s="88"/>
      <c r="N1020" s="88"/>
      <c r="O1020" s="88"/>
      <c r="P1020" s="88"/>
      <c r="Q1020" s="88"/>
      <c r="R1020" s="88"/>
      <c r="S1020" s="88"/>
      <c r="T1020" s="88"/>
      <c r="U1020" s="88"/>
      <c r="V1020" s="88"/>
      <c r="W1020" s="88"/>
      <c r="X1020" s="88"/>
      <c r="Y1020" s="88"/>
      <c r="Z1020" s="88"/>
      <c r="AA1020" s="88"/>
      <c r="AB1020" s="88"/>
      <c r="AC1020" s="88"/>
      <c r="AD1020" s="88"/>
    </row>
    <row r="1021" ht="13.5" customHeight="1">
      <c r="A1021" s="88"/>
      <c r="B1021" s="88"/>
      <c r="C1021" s="88"/>
      <c r="D1021" s="88"/>
      <c r="E1021" s="88"/>
      <c r="F1021" s="88"/>
      <c r="G1021" s="88"/>
      <c r="H1021" s="88"/>
      <c r="I1021" s="88"/>
      <c r="J1021" s="88"/>
      <c r="K1021" s="88"/>
      <c r="L1021" s="88"/>
      <c r="M1021" s="88"/>
      <c r="N1021" s="88"/>
      <c r="O1021" s="88"/>
      <c r="P1021" s="88"/>
      <c r="Q1021" s="88"/>
      <c r="R1021" s="88"/>
      <c r="S1021" s="88"/>
      <c r="T1021" s="88"/>
      <c r="U1021" s="88"/>
      <c r="V1021" s="88"/>
      <c r="W1021" s="88"/>
      <c r="X1021" s="88"/>
      <c r="Y1021" s="88"/>
      <c r="Z1021" s="88"/>
      <c r="AA1021" s="88"/>
      <c r="AB1021" s="88"/>
      <c r="AC1021" s="88"/>
      <c r="AD1021" s="88"/>
    </row>
    <row r="1022" ht="13.5" customHeight="1">
      <c r="A1022" s="88"/>
      <c r="B1022" s="88"/>
      <c r="C1022" s="88"/>
      <c r="D1022" s="88"/>
      <c r="E1022" s="88"/>
      <c r="F1022" s="88"/>
      <c r="G1022" s="88"/>
      <c r="H1022" s="88"/>
      <c r="I1022" s="88"/>
      <c r="J1022" s="88"/>
      <c r="K1022" s="88"/>
      <c r="L1022" s="88"/>
      <c r="M1022" s="88"/>
      <c r="N1022" s="88"/>
      <c r="O1022" s="88"/>
      <c r="P1022" s="88"/>
      <c r="Q1022" s="88"/>
      <c r="R1022" s="88"/>
      <c r="S1022" s="88"/>
      <c r="T1022" s="88"/>
      <c r="U1022" s="88"/>
      <c r="V1022" s="88"/>
      <c r="W1022" s="88"/>
      <c r="X1022" s="88"/>
      <c r="Y1022" s="88"/>
      <c r="Z1022" s="88"/>
      <c r="AA1022" s="88"/>
      <c r="AB1022" s="88"/>
      <c r="AC1022" s="88"/>
      <c r="AD1022" s="88"/>
    </row>
    <row r="1023" ht="13.5" customHeight="1">
      <c r="A1023" s="88"/>
      <c r="B1023" s="88"/>
      <c r="C1023" s="88"/>
      <c r="D1023" s="88"/>
      <c r="E1023" s="88"/>
      <c r="F1023" s="88"/>
      <c r="G1023" s="88"/>
      <c r="H1023" s="88"/>
      <c r="I1023" s="88"/>
      <c r="J1023" s="88"/>
      <c r="K1023" s="88"/>
      <c r="L1023" s="88"/>
      <c r="M1023" s="88"/>
      <c r="N1023" s="88"/>
      <c r="O1023" s="88"/>
      <c r="P1023" s="88"/>
      <c r="Q1023" s="88"/>
      <c r="R1023" s="88"/>
      <c r="S1023" s="88"/>
      <c r="T1023" s="88"/>
      <c r="U1023" s="88"/>
      <c r="V1023" s="88"/>
      <c r="W1023" s="88"/>
      <c r="X1023" s="88"/>
      <c r="Y1023" s="88"/>
      <c r="Z1023" s="88"/>
      <c r="AA1023" s="88"/>
      <c r="AB1023" s="88"/>
      <c r="AC1023" s="88"/>
      <c r="AD1023" s="88"/>
    </row>
    <row r="1024" ht="13.5" customHeight="1">
      <c r="A1024" s="88"/>
      <c r="B1024" s="88"/>
      <c r="C1024" s="88"/>
      <c r="D1024" s="88"/>
      <c r="E1024" s="88"/>
      <c r="F1024" s="88"/>
      <c r="G1024" s="88"/>
      <c r="H1024" s="88"/>
      <c r="I1024" s="88"/>
      <c r="J1024" s="88"/>
      <c r="K1024" s="88"/>
      <c r="L1024" s="88"/>
      <c r="M1024" s="88"/>
      <c r="N1024" s="88"/>
      <c r="O1024" s="88"/>
      <c r="P1024" s="88"/>
      <c r="Q1024" s="88"/>
      <c r="R1024" s="88"/>
      <c r="S1024" s="88"/>
      <c r="T1024" s="88"/>
      <c r="U1024" s="88"/>
      <c r="V1024" s="88"/>
      <c r="W1024" s="88"/>
      <c r="X1024" s="88"/>
      <c r="Y1024" s="88"/>
      <c r="Z1024" s="88"/>
      <c r="AA1024" s="88"/>
      <c r="AB1024" s="88"/>
      <c r="AC1024" s="88"/>
      <c r="AD1024" s="88"/>
    </row>
    <row r="1025" ht="13.5" customHeight="1">
      <c r="A1025" s="88"/>
      <c r="B1025" s="88"/>
      <c r="C1025" s="88"/>
      <c r="D1025" s="88"/>
      <c r="E1025" s="88"/>
      <c r="F1025" s="88"/>
      <c r="G1025" s="88"/>
      <c r="H1025" s="88"/>
      <c r="I1025" s="88"/>
      <c r="J1025" s="88"/>
      <c r="K1025" s="88"/>
      <c r="L1025" s="88"/>
      <c r="M1025" s="88"/>
      <c r="N1025" s="88"/>
      <c r="O1025" s="88"/>
      <c r="P1025" s="88"/>
      <c r="Q1025" s="88"/>
      <c r="R1025" s="88"/>
      <c r="S1025" s="88"/>
      <c r="T1025" s="88"/>
      <c r="U1025" s="88"/>
      <c r="V1025" s="88"/>
      <c r="W1025" s="88"/>
      <c r="X1025" s="88"/>
      <c r="Y1025" s="88"/>
      <c r="Z1025" s="88"/>
      <c r="AA1025" s="88"/>
      <c r="AB1025" s="88"/>
      <c r="AC1025" s="88"/>
      <c r="AD1025" s="88"/>
    </row>
    <row r="1026" ht="13.5" customHeight="1">
      <c r="A1026" s="88"/>
      <c r="B1026" s="88"/>
      <c r="C1026" s="88"/>
      <c r="D1026" s="88"/>
      <c r="E1026" s="88"/>
      <c r="F1026" s="88"/>
      <c r="G1026" s="88"/>
      <c r="H1026" s="88"/>
      <c r="I1026" s="88"/>
      <c r="J1026" s="88"/>
      <c r="K1026" s="88"/>
      <c r="L1026" s="88"/>
      <c r="M1026" s="88"/>
      <c r="N1026" s="88"/>
      <c r="O1026" s="88"/>
      <c r="P1026" s="88"/>
      <c r="Q1026" s="88"/>
      <c r="R1026" s="88"/>
      <c r="S1026" s="88"/>
      <c r="T1026" s="88"/>
      <c r="U1026" s="88"/>
      <c r="V1026" s="88"/>
      <c r="W1026" s="88"/>
      <c r="X1026" s="88"/>
      <c r="Y1026" s="88"/>
      <c r="Z1026" s="88"/>
      <c r="AA1026" s="88"/>
      <c r="AB1026" s="88"/>
      <c r="AC1026" s="88"/>
      <c r="AD1026" s="88"/>
    </row>
    <row r="1027" ht="13.5" customHeight="1">
      <c r="A1027" s="88"/>
      <c r="B1027" s="88"/>
      <c r="C1027" s="88"/>
      <c r="D1027" s="88"/>
      <c r="E1027" s="88"/>
      <c r="F1027" s="88"/>
      <c r="G1027" s="88"/>
      <c r="H1027" s="88"/>
      <c r="I1027" s="88"/>
      <c r="J1027" s="88"/>
      <c r="K1027" s="88"/>
      <c r="L1027" s="88"/>
      <c r="M1027" s="88"/>
      <c r="N1027" s="88"/>
      <c r="O1027" s="88"/>
      <c r="P1027" s="88"/>
      <c r="Q1027" s="88"/>
      <c r="R1027" s="88"/>
      <c r="S1027" s="88"/>
      <c r="T1027" s="88"/>
      <c r="U1027" s="88"/>
      <c r="V1027" s="88"/>
      <c r="W1027" s="88"/>
      <c r="X1027" s="88"/>
      <c r="Y1027" s="88"/>
      <c r="Z1027" s="88"/>
      <c r="AA1027" s="88"/>
      <c r="AB1027" s="88"/>
      <c r="AC1027" s="88"/>
      <c r="AD1027" s="88"/>
    </row>
    <row r="1028" ht="13.5" customHeight="1">
      <c r="A1028" s="88"/>
      <c r="B1028" s="88"/>
      <c r="C1028" s="88"/>
      <c r="D1028" s="88"/>
      <c r="E1028" s="88"/>
      <c r="F1028" s="88"/>
      <c r="G1028" s="88"/>
      <c r="H1028" s="88"/>
      <c r="I1028" s="88"/>
      <c r="J1028" s="88"/>
      <c r="K1028" s="88"/>
      <c r="L1028" s="88"/>
      <c r="M1028" s="88"/>
      <c r="N1028" s="88"/>
      <c r="O1028" s="88"/>
      <c r="P1028" s="88"/>
      <c r="Q1028" s="88"/>
      <c r="R1028" s="88"/>
      <c r="S1028" s="88"/>
      <c r="T1028" s="88"/>
      <c r="U1028" s="88"/>
      <c r="V1028" s="88"/>
      <c r="W1028" s="88"/>
      <c r="X1028" s="88"/>
      <c r="Y1028" s="88"/>
      <c r="Z1028" s="88"/>
      <c r="AA1028" s="88"/>
      <c r="AB1028" s="88"/>
      <c r="AC1028" s="88"/>
      <c r="AD1028" s="88"/>
    </row>
    <row r="1029" ht="13.5" customHeight="1">
      <c r="A1029" s="88"/>
      <c r="B1029" s="88"/>
      <c r="C1029" s="88"/>
      <c r="D1029" s="88"/>
      <c r="E1029" s="88"/>
      <c r="F1029" s="88"/>
      <c r="G1029" s="88"/>
      <c r="H1029" s="88"/>
      <c r="I1029" s="88"/>
      <c r="J1029" s="88"/>
      <c r="K1029" s="88"/>
      <c r="L1029" s="88"/>
      <c r="M1029" s="88"/>
      <c r="N1029" s="88"/>
      <c r="O1029" s="88"/>
      <c r="P1029" s="88"/>
      <c r="Q1029" s="88"/>
      <c r="R1029" s="88"/>
      <c r="S1029" s="88"/>
      <c r="T1029" s="88"/>
      <c r="U1029" s="88"/>
      <c r="V1029" s="88"/>
      <c r="W1029" s="88"/>
      <c r="X1029" s="88"/>
      <c r="Y1029" s="88"/>
      <c r="Z1029" s="88"/>
      <c r="AA1029" s="88"/>
      <c r="AB1029" s="88"/>
      <c r="AC1029" s="88"/>
      <c r="AD1029" s="88"/>
    </row>
    <row r="1030" ht="13.5" customHeight="1">
      <c r="A1030" s="88"/>
      <c r="B1030" s="88"/>
      <c r="C1030" s="88"/>
      <c r="D1030" s="88"/>
      <c r="E1030" s="88"/>
      <c r="F1030" s="88"/>
      <c r="G1030" s="88"/>
      <c r="H1030" s="88"/>
      <c r="I1030" s="88"/>
      <c r="J1030" s="88"/>
      <c r="K1030" s="88"/>
      <c r="L1030" s="88"/>
      <c r="M1030" s="88"/>
      <c r="N1030" s="88"/>
      <c r="O1030" s="88"/>
      <c r="P1030" s="88"/>
      <c r="Q1030" s="88"/>
      <c r="R1030" s="88"/>
      <c r="S1030" s="88"/>
      <c r="T1030" s="88"/>
      <c r="U1030" s="88"/>
      <c r="V1030" s="88"/>
      <c r="W1030" s="88"/>
      <c r="X1030" s="88"/>
      <c r="Y1030" s="88"/>
      <c r="Z1030" s="88"/>
      <c r="AA1030" s="88"/>
      <c r="AB1030" s="88"/>
      <c r="AC1030" s="88"/>
      <c r="AD1030" s="88"/>
    </row>
    <row r="1031" ht="13.5" customHeight="1">
      <c r="A1031" s="88"/>
      <c r="B1031" s="88"/>
      <c r="C1031" s="88"/>
      <c r="D1031" s="88"/>
      <c r="E1031" s="88"/>
      <c r="F1031" s="88"/>
      <c r="G1031" s="88"/>
      <c r="H1031" s="88"/>
      <c r="I1031" s="88"/>
      <c r="J1031" s="88"/>
      <c r="K1031" s="88"/>
      <c r="L1031" s="88"/>
      <c r="M1031" s="88"/>
      <c r="N1031" s="88"/>
      <c r="O1031" s="88"/>
      <c r="P1031" s="88"/>
      <c r="Q1031" s="88"/>
      <c r="R1031" s="88"/>
      <c r="S1031" s="88"/>
      <c r="T1031" s="88"/>
      <c r="U1031" s="88"/>
      <c r="V1031" s="88"/>
      <c r="W1031" s="88"/>
      <c r="X1031" s="88"/>
      <c r="Y1031" s="88"/>
      <c r="Z1031" s="88"/>
      <c r="AA1031" s="88"/>
      <c r="AB1031" s="88"/>
      <c r="AC1031" s="88"/>
      <c r="AD1031" s="88"/>
    </row>
    <row r="1032" ht="13.5" customHeight="1">
      <c r="A1032" s="88"/>
      <c r="B1032" s="88"/>
      <c r="C1032" s="88"/>
      <c r="D1032" s="88"/>
      <c r="E1032" s="88"/>
      <c r="F1032" s="88"/>
      <c r="G1032" s="88"/>
      <c r="H1032" s="88"/>
      <c r="I1032" s="88"/>
      <c r="J1032" s="88"/>
      <c r="K1032" s="88"/>
      <c r="L1032" s="88"/>
      <c r="M1032" s="88"/>
      <c r="N1032" s="88"/>
      <c r="O1032" s="88"/>
      <c r="P1032" s="88"/>
      <c r="Q1032" s="88"/>
      <c r="R1032" s="88"/>
      <c r="S1032" s="88"/>
      <c r="T1032" s="88"/>
      <c r="U1032" s="88"/>
      <c r="V1032" s="88"/>
      <c r="W1032" s="88"/>
      <c r="X1032" s="88"/>
      <c r="Y1032" s="88"/>
      <c r="Z1032" s="88"/>
      <c r="AA1032" s="88"/>
      <c r="AB1032" s="88"/>
      <c r="AC1032" s="88"/>
      <c r="AD1032" s="88"/>
    </row>
    <row r="1033" ht="13.5" customHeight="1">
      <c r="A1033" s="88"/>
      <c r="B1033" s="88"/>
      <c r="C1033" s="88"/>
      <c r="D1033" s="88"/>
      <c r="E1033" s="88"/>
      <c r="F1033" s="88"/>
      <c r="G1033" s="88"/>
      <c r="H1033" s="88"/>
      <c r="I1033" s="88"/>
      <c r="J1033" s="88"/>
      <c r="K1033" s="88"/>
      <c r="L1033" s="88"/>
      <c r="M1033" s="88"/>
      <c r="N1033" s="88"/>
      <c r="O1033" s="88"/>
      <c r="P1033" s="88"/>
      <c r="Q1033" s="88"/>
      <c r="R1033" s="88"/>
      <c r="S1033" s="88"/>
      <c r="T1033" s="88"/>
      <c r="U1033" s="88"/>
      <c r="V1033" s="88"/>
      <c r="W1033" s="88"/>
      <c r="X1033" s="88"/>
      <c r="Y1033" s="88"/>
      <c r="Z1033" s="88"/>
      <c r="AA1033" s="88"/>
      <c r="AB1033" s="88"/>
      <c r="AC1033" s="88"/>
      <c r="AD1033" s="88"/>
    </row>
    <row r="1034" ht="13.5" customHeight="1">
      <c r="A1034" s="88"/>
      <c r="B1034" s="88"/>
      <c r="C1034" s="88"/>
      <c r="D1034" s="88"/>
      <c r="E1034" s="88"/>
      <c r="F1034" s="88"/>
      <c r="G1034" s="88"/>
      <c r="H1034" s="88"/>
      <c r="I1034" s="88"/>
      <c r="J1034" s="88"/>
      <c r="K1034" s="88"/>
      <c r="L1034" s="88"/>
      <c r="M1034" s="88"/>
      <c r="N1034" s="88"/>
      <c r="O1034" s="88"/>
      <c r="P1034" s="88"/>
      <c r="Q1034" s="88"/>
      <c r="R1034" s="88"/>
      <c r="S1034" s="88"/>
      <c r="T1034" s="88"/>
      <c r="U1034" s="88"/>
      <c r="V1034" s="88"/>
      <c r="W1034" s="88"/>
      <c r="X1034" s="88"/>
      <c r="Y1034" s="88"/>
      <c r="Z1034" s="88"/>
      <c r="AA1034" s="88"/>
      <c r="AB1034" s="88"/>
      <c r="AC1034" s="88"/>
      <c r="AD1034" s="88"/>
    </row>
    <row r="1035" ht="13.5" customHeight="1">
      <c r="A1035" s="88"/>
      <c r="B1035" s="88"/>
      <c r="C1035" s="88"/>
      <c r="D1035" s="88"/>
      <c r="E1035" s="88"/>
      <c r="F1035" s="88"/>
      <c r="G1035" s="88"/>
      <c r="H1035" s="88"/>
      <c r="I1035" s="88"/>
      <c r="J1035" s="88"/>
      <c r="K1035" s="88"/>
      <c r="L1035" s="88"/>
      <c r="M1035" s="88"/>
      <c r="N1035" s="88"/>
      <c r="O1035" s="88"/>
      <c r="P1035" s="88"/>
      <c r="Q1035" s="88"/>
      <c r="R1035" s="88"/>
      <c r="S1035" s="88"/>
      <c r="T1035" s="88"/>
      <c r="U1035" s="88"/>
      <c r="V1035" s="88"/>
      <c r="W1035" s="88"/>
      <c r="X1035" s="88"/>
      <c r="Y1035" s="88"/>
      <c r="Z1035" s="88"/>
      <c r="AA1035" s="88"/>
      <c r="AB1035" s="88"/>
      <c r="AC1035" s="88"/>
      <c r="AD1035" s="88"/>
    </row>
    <row r="1036" ht="13.5" customHeight="1">
      <c r="A1036" s="88"/>
      <c r="B1036" s="88"/>
      <c r="C1036" s="88"/>
      <c r="D1036" s="88"/>
      <c r="E1036" s="88"/>
      <c r="F1036" s="88"/>
      <c r="G1036" s="88"/>
      <c r="H1036" s="88"/>
      <c r="I1036" s="88"/>
      <c r="J1036" s="88"/>
      <c r="K1036" s="88"/>
      <c r="L1036" s="88"/>
      <c r="M1036" s="88"/>
      <c r="N1036" s="88"/>
      <c r="O1036" s="88"/>
      <c r="P1036" s="88"/>
      <c r="Q1036" s="88"/>
      <c r="R1036" s="88"/>
      <c r="S1036" s="88"/>
      <c r="T1036" s="88"/>
      <c r="U1036" s="88"/>
      <c r="V1036" s="88"/>
      <c r="W1036" s="88"/>
      <c r="X1036" s="88"/>
      <c r="Y1036" s="88"/>
      <c r="Z1036" s="88"/>
      <c r="AA1036" s="88"/>
      <c r="AB1036" s="88"/>
      <c r="AC1036" s="88"/>
      <c r="AD1036" s="88"/>
    </row>
    <row r="1037" ht="13.5" customHeight="1">
      <c r="A1037" s="88"/>
      <c r="B1037" s="88"/>
      <c r="C1037" s="88"/>
      <c r="D1037" s="88"/>
      <c r="E1037" s="88"/>
      <c r="F1037" s="88"/>
      <c r="G1037" s="88"/>
      <c r="H1037" s="88"/>
      <c r="I1037" s="88"/>
      <c r="J1037" s="88"/>
      <c r="K1037" s="88"/>
      <c r="L1037" s="88"/>
      <c r="M1037" s="88"/>
      <c r="N1037" s="88"/>
      <c r="O1037" s="88"/>
      <c r="P1037" s="88"/>
      <c r="Q1037" s="88"/>
      <c r="R1037" s="88"/>
      <c r="S1037" s="88"/>
      <c r="T1037" s="88"/>
      <c r="U1037" s="88"/>
      <c r="V1037" s="88"/>
      <c r="W1037" s="88"/>
      <c r="X1037" s="88"/>
      <c r="Y1037" s="88"/>
      <c r="Z1037" s="88"/>
      <c r="AA1037" s="88"/>
      <c r="AB1037" s="88"/>
      <c r="AC1037" s="88"/>
      <c r="AD1037" s="88"/>
    </row>
    <row r="1038" ht="13.5" customHeight="1">
      <c r="A1038" s="88"/>
      <c r="B1038" s="88"/>
      <c r="C1038" s="88"/>
      <c r="D1038" s="88"/>
      <c r="E1038" s="88"/>
      <c r="F1038" s="88"/>
      <c r="G1038" s="88"/>
      <c r="H1038" s="88"/>
      <c r="I1038" s="88"/>
      <c r="J1038" s="88"/>
      <c r="K1038" s="88"/>
      <c r="L1038" s="88"/>
      <c r="M1038" s="88"/>
      <c r="N1038" s="88"/>
      <c r="O1038" s="88"/>
      <c r="P1038" s="88"/>
      <c r="Q1038" s="88"/>
      <c r="R1038" s="88"/>
      <c r="S1038" s="88"/>
      <c r="T1038" s="88"/>
      <c r="U1038" s="88"/>
      <c r="V1038" s="88"/>
      <c r="W1038" s="88"/>
      <c r="X1038" s="88"/>
      <c r="Y1038" s="88"/>
      <c r="Z1038" s="88"/>
      <c r="AA1038" s="88"/>
      <c r="AB1038" s="88"/>
      <c r="AC1038" s="88"/>
      <c r="AD1038" s="88"/>
    </row>
    <row r="1039" ht="13.5" customHeight="1">
      <c r="A1039" s="88"/>
      <c r="B1039" s="88"/>
      <c r="C1039" s="88"/>
      <c r="D1039" s="88"/>
      <c r="E1039" s="88"/>
      <c r="F1039" s="88"/>
      <c r="G1039" s="88"/>
      <c r="H1039" s="88"/>
      <c r="I1039" s="88"/>
      <c r="J1039" s="88"/>
      <c r="K1039" s="88"/>
      <c r="L1039" s="88"/>
      <c r="M1039" s="88"/>
      <c r="N1039" s="88"/>
      <c r="O1039" s="88"/>
      <c r="P1039" s="88"/>
      <c r="Q1039" s="88"/>
      <c r="R1039" s="88"/>
      <c r="S1039" s="88"/>
      <c r="T1039" s="88"/>
      <c r="U1039" s="88"/>
      <c r="V1039" s="88"/>
      <c r="W1039" s="88"/>
      <c r="X1039" s="88"/>
      <c r="Y1039" s="88"/>
      <c r="Z1039" s="88"/>
      <c r="AA1039" s="88"/>
      <c r="AB1039" s="88"/>
      <c r="AC1039" s="88"/>
      <c r="AD1039" s="88"/>
    </row>
    <row r="1040" ht="13.5" customHeight="1">
      <c r="A1040" s="88"/>
      <c r="B1040" s="88"/>
      <c r="C1040" s="88"/>
      <c r="D1040" s="88"/>
      <c r="E1040" s="88"/>
      <c r="F1040" s="88"/>
      <c r="G1040" s="88"/>
      <c r="H1040" s="88"/>
      <c r="I1040" s="88"/>
      <c r="J1040" s="88"/>
      <c r="K1040" s="88"/>
      <c r="L1040" s="88"/>
      <c r="M1040" s="88"/>
      <c r="N1040" s="88"/>
      <c r="O1040" s="88"/>
      <c r="P1040" s="88"/>
      <c r="Q1040" s="88"/>
      <c r="R1040" s="88"/>
      <c r="S1040" s="88"/>
      <c r="T1040" s="88"/>
      <c r="U1040" s="88"/>
      <c r="V1040" s="88"/>
      <c r="W1040" s="88"/>
      <c r="X1040" s="88"/>
      <c r="Y1040" s="88"/>
      <c r="Z1040" s="88"/>
      <c r="AA1040" s="88"/>
      <c r="AB1040" s="88"/>
      <c r="AC1040" s="88"/>
      <c r="AD1040" s="88"/>
    </row>
    <row r="1041" ht="13.5" customHeight="1">
      <c r="A1041" s="88"/>
      <c r="B1041" s="88"/>
      <c r="C1041" s="88"/>
      <c r="D1041" s="88"/>
      <c r="E1041" s="88"/>
      <c r="F1041" s="88"/>
      <c r="G1041" s="88"/>
      <c r="H1041" s="88"/>
      <c r="I1041" s="88"/>
      <c r="J1041" s="88"/>
      <c r="K1041" s="88"/>
      <c r="L1041" s="88"/>
      <c r="M1041" s="88"/>
      <c r="N1041" s="88"/>
      <c r="O1041" s="88"/>
      <c r="P1041" s="88"/>
      <c r="Q1041" s="88"/>
      <c r="R1041" s="88"/>
      <c r="S1041" s="88"/>
      <c r="T1041" s="88"/>
      <c r="U1041" s="88"/>
      <c r="V1041" s="88"/>
      <c r="W1041" s="88"/>
      <c r="X1041" s="88"/>
      <c r="Y1041" s="88"/>
      <c r="Z1041" s="88"/>
      <c r="AA1041" s="88"/>
      <c r="AB1041" s="88"/>
      <c r="AC1041" s="88"/>
      <c r="AD1041" s="88"/>
    </row>
    <row r="1042" ht="13.5" customHeight="1">
      <c r="A1042" s="88"/>
      <c r="B1042" s="88"/>
      <c r="C1042" s="88"/>
      <c r="D1042" s="88"/>
      <c r="E1042" s="88"/>
      <c r="F1042" s="88"/>
      <c r="G1042" s="88"/>
      <c r="H1042" s="88"/>
      <c r="I1042" s="88"/>
      <c r="J1042" s="88"/>
      <c r="K1042" s="88"/>
      <c r="L1042" s="88"/>
      <c r="M1042" s="88"/>
      <c r="N1042" s="88"/>
      <c r="O1042" s="88"/>
      <c r="P1042" s="88"/>
      <c r="Q1042" s="88"/>
      <c r="R1042" s="88"/>
      <c r="S1042" s="88"/>
      <c r="T1042" s="88"/>
      <c r="U1042" s="88"/>
      <c r="V1042" s="88"/>
      <c r="W1042" s="88"/>
      <c r="X1042" s="88"/>
      <c r="Y1042" s="88"/>
      <c r="Z1042" s="88"/>
      <c r="AA1042" s="88"/>
      <c r="AB1042" s="88"/>
      <c r="AC1042" s="88"/>
      <c r="AD1042" s="88"/>
    </row>
    <row r="1043" ht="13.5" customHeight="1">
      <c r="A1043" s="88"/>
      <c r="B1043" s="88"/>
      <c r="C1043" s="88"/>
      <c r="D1043" s="88"/>
      <c r="E1043" s="88"/>
      <c r="F1043" s="88"/>
      <c r="G1043" s="88"/>
      <c r="H1043" s="88"/>
      <c r="I1043" s="88"/>
      <c r="J1043" s="88"/>
      <c r="K1043" s="88"/>
      <c r="L1043" s="88"/>
      <c r="M1043" s="88"/>
      <c r="N1043" s="88"/>
      <c r="O1043" s="88"/>
      <c r="P1043" s="88"/>
      <c r="Q1043" s="88"/>
      <c r="R1043" s="88"/>
      <c r="S1043" s="88"/>
      <c r="T1043" s="88"/>
      <c r="U1043" s="88"/>
      <c r="V1043" s="88"/>
      <c r="W1043" s="88"/>
      <c r="X1043" s="88"/>
      <c r="Y1043" s="88"/>
      <c r="Z1043" s="88"/>
      <c r="AA1043" s="88"/>
      <c r="AB1043" s="88"/>
      <c r="AC1043" s="88"/>
      <c r="AD1043" s="88"/>
    </row>
    <row r="1044" ht="13.5" customHeight="1">
      <c r="A1044" s="88"/>
      <c r="B1044" s="88"/>
      <c r="C1044" s="88"/>
      <c r="D1044" s="88"/>
      <c r="E1044" s="88"/>
      <c r="F1044" s="88"/>
      <c r="G1044" s="88"/>
      <c r="H1044" s="88"/>
      <c r="I1044" s="88"/>
      <c r="J1044" s="88"/>
      <c r="K1044" s="88"/>
      <c r="L1044" s="88"/>
      <c r="M1044" s="88"/>
      <c r="N1044" s="88"/>
      <c r="O1044" s="88"/>
      <c r="P1044" s="88"/>
      <c r="Q1044" s="88"/>
      <c r="R1044" s="88"/>
      <c r="S1044" s="88"/>
      <c r="T1044" s="88"/>
      <c r="U1044" s="88"/>
      <c r="V1044" s="88"/>
      <c r="W1044" s="88"/>
      <c r="X1044" s="88"/>
      <c r="Y1044" s="88"/>
      <c r="Z1044" s="88"/>
      <c r="AA1044" s="88"/>
      <c r="AB1044" s="88"/>
      <c r="AC1044" s="88"/>
      <c r="AD1044" s="88"/>
    </row>
    <row r="1045" ht="13.5" customHeight="1">
      <c r="A1045" s="88"/>
      <c r="B1045" s="88"/>
      <c r="C1045" s="88"/>
      <c r="D1045" s="88"/>
      <c r="E1045" s="88"/>
      <c r="F1045" s="88"/>
      <c r="G1045" s="88"/>
      <c r="H1045" s="88"/>
      <c r="I1045" s="88"/>
      <c r="J1045" s="88"/>
      <c r="K1045" s="88"/>
      <c r="L1045" s="88"/>
      <c r="M1045" s="88"/>
      <c r="N1045" s="88"/>
      <c r="O1045" s="88"/>
      <c r="P1045" s="88"/>
      <c r="Q1045" s="88"/>
      <c r="R1045" s="88"/>
      <c r="S1045" s="88"/>
      <c r="T1045" s="88"/>
      <c r="U1045" s="88"/>
      <c r="V1045" s="88"/>
      <c r="W1045" s="88"/>
      <c r="X1045" s="88"/>
      <c r="Y1045" s="88"/>
      <c r="Z1045" s="88"/>
      <c r="AA1045" s="88"/>
      <c r="AB1045" s="88"/>
      <c r="AC1045" s="88"/>
      <c r="AD1045" s="88"/>
    </row>
    <row r="1046" ht="13.5" customHeight="1">
      <c r="A1046" s="88"/>
      <c r="B1046" s="88"/>
      <c r="C1046" s="88"/>
      <c r="D1046" s="88"/>
      <c r="E1046" s="88"/>
      <c r="F1046" s="88"/>
      <c r="G1046" s="88"/>
      <c r="H1046" s="88"/>
      <c r="I1046" s="88"/>
      <c r="J1046" s="88"/>
      <c r="K1046" s="88"/>
      <c r="L1046" s="88"/>
      <c r="M1046" s="88"/>
      <c r="N1046" s="88"/>
      <c r="O1046" s="88"/>
      <c r="P1046" s="88"/>
      <c r="Q1046" s="88"/>
      <c r="R1046" s="88"/>
      <c r="S1046" s="88"/>
      <c r="T1046" s="88"/>
      <c r="U1046" s="88"/>
      <c r="V1046" s="88"/>
      <c r="W1046" s="88"/>
      <c r="X1046" s="88"/>
      <c r="Y1046" s="88"/>
      <c r="Z1046" s="88"/>
      <c r="AA1046" s="88"/>
      <c r="AB1046" s="88"/>
      <c r="AC1046" s="88"/>
      <c r="AD1046" s="88"/>
    </row>
    <row r="1047" ht="13.5" customHeight="1">
      <c r="A1047" s="88"/>
      <c r="B1047" s="88"/>
      <c r="C1047" s="88"/>
      <c r="D1047" s="88"/>
      <c r="E1047" s="88"/>
      <c r="F1047" s="88"/>
      <c r="G1047" s="88"/>
      <c r="H1047" s="88"/>
      <c r="I1047" s="88"/>
      <c r="J1047" s="88"/>
      <c r="K1047" s="88"/>
      <c r="L1047" s="88"/>
      <c r="M1047" s="88"/>
      <c r="N1047" s="88"/>
      <c r="O1047" s="88"/>
      <c r="P1047" s="88"/>
      <c r="Q1047" s="88"/>
      <c r="R1047" s="88"/>
      <c r="S1047" s="88"/>
      <c r="T1047" s="88"/>
      <c r="U1047" s="88"/>
      <c r="V1047" s="88"/>
      <c r="W1047" s="88"/>
      <c r="X1047" s="88"/>
      <c r="Y1047" s="88"/>
      <c r="Z1047" s="88"/>
      <c r="AA1047" s="88"/>
      <c r="AB1047" s="88"/>
      <c r="AC1047" s="88"/>
      <c r="AD1047" s="88"/>
    </row>
    <row r="1048" ht="13.5" customHeight="1">
      <c r="A1048" s="88"/>
      <c r="B1048" s="88"/>
      <c r="C1048" s="88"/>
      <c r="D1048" s="88"/>
      <c r="E1048" s="88"/>
      <c r="F1048" s="88"/>
      <c r="G1048" s="88"/>
      <c r="H1048" s="88"/>
      <c r="I1048" s="88"/>
      <c r="J1048" s="88"/>
      <c r="K1048" s="88"/>
      <c r="L1048" s="88"/>
      <c r="M1048" s="88"/>
      <c r="N1048" s="88"/>
      <c r="O1048" s="88"/>
      <c r="P1048" s="88"/>
      <c r="Q1048" s="88"/>
      <c r="R1048" s="88"/>
      <c r="S1048" s="88"/>
      <c r="T1048" s="88"/>
      <c r="U1048" s="88"/>
      <c r="V1048" s="88"/>
      <c r="W1048" s="88"/>
      <c r="X1048" s="88"/>
      <c r="Y1048" s="88"/>
      <c r="Z1048" s="88"/>
      <c r="AA1048" s="88"/>
      <c r="AB1048" s="88"/>
      <c r="AC1048" s="88"/>
      <c r="AD1048" s="88"/>
    </row>
    <row r="1049" ht="13.5" customHeight="1">
      <c r="A1049" s="88"/>
      <c r="B1049" s="88"/>
      <c r="C1049" s="88"/>
      <c r="D1049" s="88"/>
      <c r="E1049" s="88"/>
      <c r="F1049" s="88"/>
      <c r="G1049" s="88"/>
      <c r="H1049" s="88"/>
      <c r="I1049" s="88"/>
      <c r="J1049" s="88"/>
      <c r="K1049" s="88"/>
      <c r="L1049" s="88"/>
      <c r="M1049" s="88"/>
      <c r="N1049" s="88"/>
      <c r="O1049" s="88"/>
      <c r="P1049" s="88"/>
      <c r="Q1049" s="88"/>
      <c r="R1049" s="88"/>
      <c r="S1049" s="88"/>
      <c r="T1049" s="88"/>
      <c r="U1049" s="88"/>
      <c r="V1049" s="88"/>
      <c r="W1049" s="88"/>
      <c r="X1049" s="88"/>
      <c r="Y1049" s="88"/>
      <c r="Z1049" s="88"/>
      <c r="AA1049" s="88"/>
      <c r="AB1049" s="88"/>
      <c r="AC1049" s="88"/>
      <c r="AD1049" s="88"/>
    </row>
    <row r="1050" ht="13.5" customHeight="1">
      <c r="A1050" s="88"/>
      <c r="B1050" s="88"/>
      <c r="C1050" s="88"/>
      <c r="D1050" s="88"/>
      <c r="E1050" s="88"/>
      <c r="F1050" s="88"/>
      <c r="G1050" s="88"/>
      <c r="H1050" s="88"/>
      <c r="I1050" s="88"/>
      <c r="J1050" s="88"/>
      <c r="K1050" s="88"/>
      <c r="L1050" s="88"/>
      <c r="M1050" s="88"/>
      <c r="N1050" s="88"/>
      <c r="O1050" s="88"/>
      <c r="P1050" s="88"/>
      <c r="Q1050" s="88"/>
      <c r="R1050" s="88"/>
      <c r="S1050" s="88"/>
      <c r="T1050" s="88"/>
      <c r="U1050" s="88"/>
      <c r="V1050" s="88"/>
      <c r="W1050" s="88"/>
      <c r="X1050" s="88"/>
      <c r="Y1050" s="88"/>
      <c r="Z1050" s="88"/>
      <c r="AA1050" s="88"/>
      <c r="AB1050" s="88"/>
      <c r="AC1050" s="88"/>
      <c r="AD1050" s="88"/>
    </row>
    <row r="1051" ht="13.5" customHeight="1">
      <c r="A1051" s="88"/>
      <c r="B1051" s="88"/>
      <c r="C1051" s="88"/>
      <c r="D1051" s="88"/>
      <c r="E1051" s="88"/>
      <c r="F1051" s="88"/>
      <c r="G1051" s="88"/>
      <c r="H1051" s="88"/>
      <c r="I1051" s="88"/>
      <c r="J1051" s="88"/>
      <c r="K1051" s="88"/>
      <c r="L1051" s="88"/>
      <c r="M1051" s="88"/>
      <c r="N1051" s="88"/>
      <c r="O1051" s="88"/>
      <c r="P1051" s="88"/>
      <c r="Q1051" s="88"/>
      <c r="R1051" s="88"/>
      <c r="S1051" s="88"/>
      <c r="T1051" s="88"/>
      <c r="U1051" s="88"/>
      <c r="V1051" s="88"/>
      <c r="W1051" s="88"/>
      <c r="X1051" s="88"/>
      <c r="Y1051" s="88"/>
      <c r="Z1051" s="88"/>
      <c r="AA1051" s="88"/>
      <c r="AB1051" s="88"/>
      <c r="AC1051" s="88"/>
      <c r="AD1051" s="88"/>
    </row>
    <row r="1052" ht="13.5" customHeight="1">
      <c r="A1052" s="88"/>
      <c r="B1052" s="88"/>
      <c r="C1052" s="88"/>
      <c r="D1052" s="88"/>
      <c r="E1052" s="88"/>
      <c r="F1052" s="88"/>
      <c r="G1052" s="88"/>
      <c r="H1052" s="88"/>
      <c r="I1052" s="88"/>
      <c r="J1052" s="88"/>
      <c r="K1052" s="88"/>
      <c r="L1052" s="88"/>
      <c r="M1052" s="88"/>
      <c r="N1052" s="88"/>
      <c r="O1052" s="88"/>
      <c r="P1052" s="88"/>
      <c r="Q1052" s="88"/>
      <c r="R1052" s="88"/>
      <c r="S1052" s="88"/>
      <c r="T1052" s="88"/>
      <c r="U1052" s="88"/>
      <c r="V1052" s="88"/>
      <c r="W1052" s="88"/>
      <c r="X1052" s="88"/>
      <c r="Y1052" s="88"/>
      <c r="Z1052" s="88"/>
      <c r="AA1052" s="88"/>
      <c r="AB1052" s="88"/>
      <c r="AC1052" s="88"/>
      <c r="AD1052" s="88"/>
    </row>
    <row r="1053" ht="13.5" customHeight="1">
      <c r="A1053" s="88"/>
      <c r="B1053" s="88"/>
      <c r="C1053" s="88"/>
      <c r="D1053" s="88"/>
      <c r="E1053" s="88"/>
      <c r="F1053" s="88"/>
      <c r="G1053" s="88"/>
      <c r="H1053" s="88"/>
      <c r="I1053" s="88"/>
      <c r="J1053" s="88"/>
      <c r="K1053" s="88"/>
      <c r="L1053" s="88"/>
      <c r="M1053" s="88"/>
      <c r="N1053" s="88"/>
      <c r="O1053" s="88"/>
      <c r="P1053" s="88"/>
      <c r="Q1053" s="88"/>
      <c r="R1053" s="88"/>
      <c r="S1053" s="88"/>
      <c r="T1053" s="88"/>
      <c r="U1053" s="88"/>
      <c r="V1053" s="88"/>
      <c r="W1053" s="88"/>
      <c r="X1053" s="88"/>
      <c r="Y1053" s="88"/>
      <c r="Z1053" s="88"/>
      <c r="AA1053" s="88"/>
      <c r="AB1053" s="88"/>
      <c r="AC1053" s="88"/>
      <c r="AD1053" s="88"/>
    </row>
    <row r="1054" ht="13.5" customHeight="1">
      <c r="A1054" s="88"/>
      <c r="B1054" s="88"/>
      <c r="C1054" s="88"/>
      <c r="D1054" s="88"/>
      <c r="E1054" s="88"/>
      <c r="F1054" s="88"/>
      <c r="G1054" s="88"/>
      <c r="H1054" s="88"/>
      <c r="I1054" s="88"/>
      <c r="J1054" s="88"/>
      <c r="K1054" s="88"/>
      <c r="L1054" s="88"/>
      <c r="M1054" s="88"/>
      <c r="N1054" s="88"/>
      <c r="O1054" s="88"/>
      <c r="P1054" s="88"/>
      <c r="Q1054" s="88"/>
      <c r="R1054" s="88"/>
      <c r="S1054" s="88"/>
      <c r="T1054" s="88"/>
      <c r="U1054" s="88"/>
      <c r="V1054" s="88"/>
      <c r="W1054" s="88"/>
      <c r="X1054" s="88"/>
      <c r="Y1054" s="88"/>
      <c r="Z1054" s="88"/>
      <c r="AA1054" s="88"/>
      <c r="AB1054" s="88"/>
      <c r="AC1054" s="88"/>
      <c r="AD1054" s="88"/>
    </row>
    <row r="1055" ht="13.5" customHeight="1">
      <c r="A1055" s="88"/>
      <c r="B1055" s="88"/>
      <c r="C1055" s="88"/>
      <c r="D1055" s="88"/>
      <c r="E1055" s="88"/>
      <c r="F1055" s="88"/>
      <c r="G1055" s="88"/>
      <c r="H1055" s="88"/>
      <c r="I1055" s="88"/>
      <c r="J1055" s="88"/>
      <c r="K1055" s="88"/>
      <c r="L1055" s="88"/>
      <c r="M1055" s="88"/>
      <c r="N1055" s="88"/>
      <c r="O1055" s="88"/>
      <c r="P1055" s="88"/>
      <c r="Q1055" s="88"/>
      <c r="R1055" s="88"/>
      <c r="S1055" s="88"/>
      <c r="T1055" s="88"/>
      <c r="U1055" s="88"/>
      <c r="V1055" s="88"/>
      <c r="W1055" s="88"/>
      <c r="X1055" s="88"/>
      <c r="Y1055" s="88"/>
      <c r="Z1055" s="88"/>
      <c r="AA1055" s="88"/>
      <c r="AB1055" s="88"/>
      <c r="AC1055" s="88"/>
      <c r="AD1055" s="88"/>
    </row>
    <row r="1056" ht="13.5" customHeight="1">
      <c r="A1056" s="88"/>
      <c r="B1056" s="88"/>
      <c r="C1056" s="88"/>
      <c r="D1056" s="88"/>
      <c r="E1056" s="88"/>
      <c r="F1056" s="88"/>
      <c r="G1056" s="88"/>
      <c r="H1056" s="88"/>
      <c r="I1056" s="88"/>
      <c r="J1056" s="88"/>
      <c r="K1056" s="88"/>
      <c r="L1056" s="88"/>
      <c r="M1056" s="88"/>
      <c r="N1056" s="88"/>
      <c r="O1056" s="88"/>
      <c r="P1056" s="88"/>
      <c r="Q1056" s="88"/>
      <c r="R1056" s="88"/>
      <c r="S1056" s="88"/>
      <c r="T1056" s="88"/>
      <c r="U1056" s="88"/>
      <c r="V1056" s="88"/>
      <c r="W1056" s="88"/>
      <c r="X1056" s="88"/>
      <c r="Y1056" s="88"/>
      <c r="Z1056" s="88"/>
      <c r="AA1056" s="88"/>
      <c r="AB1056" s="88"/>
      <c r="AC1056" s="88"/>
      <c r="AD1056" s="88"/>
    </row>
    <row r="1057" ht="13.5" customHeight="1">
      <c r="A1057" s="88"/>
      <c r="B1057" s="88"/>
      <c r="C1057" s="88"/>
      <c r="D1057" s="88"/>
      <c r="E1057" s="88"/>
      <c r="F1057" s="88"/>
      <c r="G1057" s="88"/>
      <c r="H1057" s="88"/>
      <c r="I1057" s="88"/>
      <c r="J1057" s="88"/>
      <c r="K1057" s="88"/>
      <c r="L1057" s="88"/>
      <c r="M1057" s="88"/>
      <c r="N1057" s="88"/>
      <c r="O1057" s="88"/>
      <c r="P1057" s="88"/>
      <c r="Q1057" s="88"/>
      <c r="R1057" s="88"/>
      <c r="S1057" s="88"/>
      <c r="T1057" s="88"/>
      <c r="U1057" s="88"/>
      <c r="V1057" s="88"/>
      <c r="W1057" s="88"/>
      <c r="X1057" s="88"/>
      <c r="Y1057" s="88"/>
      <c r="Z1057" s="88"/>
      <c r="AA1057" s="88"/>
      <c r="AB1057" s="88"/>
      <c r="AC1057" s="88"/>
      <c r="AD1057" s="88"/>
    </row>
    <row r="1058" ht="13.5" customHeight="1">
      <c r="A1058" s="88"/>
      <c r="B1058" s="88"/>
      <c r="C1058" s="88"/>
      <c r="D1058" s="88"/>
      <c r="E1058" s="88"/>
      <c r="F1058" s="88"/>
      <c r="G1058" s="88"/>
      <c r="H1058" s="88"/>
      <c r="I1058" s="88"/>
      <c r="J1058" s="88"/>
      <c r="K1058" s="88"/>
      <c r="L1058" s="88"/>
      <c r="M1058" s="88"/>
      <c r="N1058" s="88"/>
      <c r="O1058" s="88"/>
      <c r="P1058" s="88"/>
      <c r="Q1058" s="88"/>
      <c r="R1058" s="88"/>
      <c r="S1058" s="88"/>
      <c r="T1058" s="88"/>
      <c r="U1058" s="88"/>
      <c r="V1058" s="88"/>
      <c r="W1058" s="88"/>
      <c r="X1058" s="88"/>
      <c r="Y1058" s="88"/>
      <c r="Z1058" s="88"/>
      <c r="AA1058" s="88"/>
      <c r="AB1058" s="88"/>
      <c r="AC1058" s="88"/>
      <c r="AD1058" s="88"/>
    </row>
    <row r="1059" ht="13.5" customHeight="1">
      <c r="A1059" s="88"/>
      <c r="B1059" s="88"/>
      <c r="C1059" s="88"/>
      <c r="D1059" s="88"/>
      <c r="E1059" s="88"/>
      <c r="F1059" s="88"/>
      <c r="G1059" s="88"/>
      <c r="H1059" s="88"/>
      <c r="I1059" s="88"/>
      <c r="J1059" s="88"/>
      <c r="K1059" s="88"/>
      <c r="L1059" s="88"/>
      <c r="M1059" s="88"/>
      <c r="N1059" s="88"/>
      <c r="O1059" s="88"/>
      <c r="P1059" s="88"/>
      <c r="Q1059" s="88"/>
      <c r="R1059" s="88"/>
      <c r="S1059" s="88"/>
      <c r="T1059" s="88"/>
      <c r="U1059" s="88"/>
      <c r="V1059" s="88"/>
      <c r="W1059" s="88"/>
      <c r="X1059" s="88"/>
      <c r="Y1059" s="88"/>
      <c r="Z1059" s="88"/>
      <c r="AA1059" s="88"/>
      <c r="AB1059" s="88"/>
      <c r="AC1059" s="88"/>
      <c r="AD1059" s="88"/>
    </row>
    <row r="1060" ht="13.5" customHeight="1">
      <c r="A1060" s="88"/>
      <c r="B1060" s="88"/>
      <c r="C1060" s="88"/>
      <c r="D1060" s="88"/>
      <c r="E1060" s="88"/>
      <c r="F1060" s="88"/>
      <c r="G1060" s="88"/>
      <c r="H1060" s="88"/>
      <c r="I1060" s="88"/>
      <c r="J1060" s="88"/>
      <c r="K1060" s="88"/>
      <c r="L1060" s="88"/>
      <c r="M1060" s="88"/>
      <c r="N1060" s="88"/>
      <c r="O1060" s="88"/>
      <c r="P1060" s="88"/>
      <c r="Q1060" s="88"/>
      <c r="R1060" s="88"/>
      <c r="S1060" s="88"/>
      <c r="T1060" s="88"/>
      <c r="U1060" s="88"/>
      <c r="V1060" s="88"/>
      <c r="W1060" s="88"/>
      <c r="X1060" s="88"/>
      <c r="Y1060" s="88"/>
      <c r="Z1060" s="88"/>
      <c r="AA1060" s="88"/>
      <c r="AB1060" s="88"/>
      <c r="AC1060" s="88"/>
      <c r="AD1060" s="88"/>
    </row>
  </sheetData>
  <mergeCells count="7">
    <mergeCell ref="H1:I1"/>
    <mergeCell ref="B3:F3"/>
    <mergeCell ref="B11:D11"/>
    <mergeCell ref="B23:D23"/>
    <mergeCell ref="B36:D36"/>
    <mergeCell ref="B58:D58"/>
    <mergeCell ref="B75:D75"/>
  </mergeCells>
  <conditionalFormatting sqref="B11:B84 H11:H84">
    <cfRule type="containsText" dxfId="0" priority="1" operator="containsText" text="Approved">
      <formula>NOT(ISERROR(SEARCH(("Approved"),(B11))))</formula>
    </cfRule>
  </conditionalFormatting>
  <conditionalFormatting sqref="B11:B84 H11:H84">
    <cfRule type="containsText" dxfId="1" priority="2" operator="containsText" text="Needs Review">
      <formula>NOT(ISERROR(SEARCH(("Needs Review"),(B11))))</formula>
    </cfRule>
  </conditionalFormatting>
  <conditionalFormatting sqref="B11:B84 H11:H84">
    <cfRule type="containsText" dxfId="2" priority="3" operator="containsText" text="Not Started">
      <formula>NOT(ISERROR(SEARCH(("Not Started"),(B11))))</formula>
    </cfRule>
  </conditionalFormatting>
  <conditionalFormatting sqref="B11:B84 H11:H84">
    <cfRule type="containsText" dxfId="3" priority="4" operator="containsText" text="On Hold">
      <formula>NOT(ISERROR(SEARCH(("On Hold"),(B11))))</formula>
    </cfRule>
  </conditionalFormatting>
  <conditionalFormatting sqref="B11:B84 H11:H84">
    <cfRule type="containsText" dxfId="4" priority="5" operator="containsText" text="Overdue">
      <formula>NOT(ISERROR(SEARCH(("Overdue"),(B11))))</formula>
    </cfRule>
  </conditionalFormatting>
  <conditionalFormatting sqref="B11:B84 H11:H84">
    <cfRule type="containsText" dxfId="5" priority="6" operator="containsText" text="Complete">
      <formula>NOT(ISERROR(SEARCH(("Complete"),(B11))))</formula>
    </cfRule>
  </conditionalFormatting>
  <conditionalFormatting sqref="B11:B84 H11:H84">
    <cfRule type="containsText" dxfId="6" priority="7" operator="containsText" text="In Progress">
      <formula>NOT(ISERROR(SEARCH(("In Progress"),(B11))))</formula>
    </cfRule>
  </conditionalFormatting>
  <conditionalFormatting sqref="I3">
    <cfRule type="colorScale" priority="8">
      <colorScale>
        <cfvo type="formula" val="0.001"/>
        <cfvo type="formula" val="0.5"/>
        <cfvo type="formula" val="1"/>
        <color rgb="FFFF5039"/>
        <color rgb="FFFFC021"/>
        <color rgb="FF1BFFED"/>
      </colorScale>
    </cfRule>
  </conditionalFormatting>
  <conditionalFormatting sqref="B11:B84 I11:I84">
    <cfRule type="containsText" dxfId="7" priority="9" operator="containsText" text="Low">
      <formula>NOT(ISERROR(SEARCH(("Low"),(B11))))</formula>
    </cfRule>
  </conditionalFormatting>
  <conditionalFormatting sqref="B11:B84 I11:I84">
    <cfRule type="containsText" dxfId="8" priority="10" operator="containsText" text="Medium">
      <formula>NOT(ISERROR(SEARCH(("Medium"),(B11))))</formula>
    </cfRule>
  </conditionalFormatting>
  <conditionalFormatting sqref="B11:B84 I11:I84">
    <cfRule type="containsText" dxfId="9" priority="11" operator="containsText" text="High">
      <formula>NOT(ISERROR(SEARCH(("High"),(B11))))</formula>
    </cfRule>
  </conditionalFormatting>
  <dataValidations>
    <dataValidation type="list" allowBlank="1" showErrorMessage="1" sqref="H11:H84">
      <formula1>'Dropdown Keys - Do Not Delete -'!$F$3:$F$11</formula1>
    </dataValidation>
    <dataValidation type="list" allowBlank="1" showErrorMessage="1" sqref="I11:I84">
      <formula1>'Dropdown Keys - Do Not Delete -'!$D$3:$D$5</formula1>
    </dataValidation>
  </dataValidations>
  <hyperlinks>
    <hyperlink r:id="rId1" ref="H1"/>
  </hyperlinks>
  <printOptions/>
  <pageMargins bottom="0.3" footer="0.0" header="0.0" left="0.3" right="0.3" top="0.3"/>
  <pageSetup fitToHeight="0"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showGridLines="0" workbookViewId="0"/>
  </sheetViews>
  <sheetFormatPr customHeight="1" defaultColWidth="11.22" defaultRowHeight="15.0"/>
  <cols>
    <col customWidth="1" min="1" max="1" width="3.33"/>
    <col customWidth="1" min="2" max="2" width="10.89"/>
    <col customWidth="1" min="3" max="3" width="3.33"/>
    <col customWidth="1" min="4" max="4" width="11.0"/>
    <col customWidth="1" min="5" max="5" width="3.33"/>
    <col customWidth="1" min="6" max="6" width="12.89"/>
    <col customWidth="1" min="7" max="7" width="3.33"/>
    <col customWidth="1" min="8" max="26" width="11.0"/>
  </cols>
  <sheetData>
    <row r="1" ht="42.0" customHeight="1">
      <c r="A1" s="111"/>
      <c r="B1" s="156" t="s">
        <v>391</v>
      </c>
      <c r="C1" s="157"/>
      <c r="D1" s="157"/>
      <c r="E1" s="157"/>
      <c r="F1" s="157"/>
      <c r="G1" s="157"/>
      <c r="H1" s="157"/>
      <c r="I1" s="157"/>
      <c r="J1" s="157"/>
      <c r="K1" s="157"/>
      <c r="L1" s="111"/>
      <c r="M1" s="111"/>
      <c r="N1" s="111"/>
      <c r="O1" s="111"/>
      <c r="P1" s="111"/>
      <c r="Q1" s="111"/>
      <c r="R1" s="111"/>
      <c r="S1" s="96"/>
      <c r="T1" s="96"/>
      <c r="U1" s="96"/>
      <c r="V1" s="96"/>
      <c r="W1" s="96"/>
      <c r="X1" s="96"/>
      <c r="Y1" s="96"/>
      <c r="Z1" s="96"/>
    </row>
    <row r="2" ht="24.75" customHeight="1">
      <c r="A2" s="96"/>
      <c r="B2" s="158" t="s">
        <v>392</v>
      </c>
      <c r="C2" s="96"/>
      <c r="D2" s="158" t="s">
        <v>386</v>
      </c>
      <c r="E2" s="96"/>
      <c r="F2" s="158" t="s">
        <v>151</v>
      </c>
      <c r="G2" s="96"/>
    </row>
    <row r="3" ht="34.5" customHeight="1">
      <c r="A3" s="96"/>
      <c r="B3" s="159" t="s">
        <v>393</v>
      </c>
      <c r="C3" s="96"/>
      <c r="D3" s="150" t="s">
        <v>388</v>
      </c>
      <c r="E3" s="96"/>
      <c r="F3" s="110" t="s">
        <v>263</v>
      </c>
      <c r="G3" s="96"/>
    </row>
    <row r="4" ht="34.5" customHeight="1">
      <c r="A4" s="96"/>
      <c r="B4" s="160" t="s">
        <v>394</v>
      </c>
      <c r="C4" s="96"/>
      <c r="D4" s="152" t="s">
        <v>160</v>
      </c>
      <c r="E4" s="96"/>
      <c r="F4" s="136" t="s">
        <v>188</v>
      </c>
      <c r="G4" s="96"/>
    </row>
    <row r="5" ht="34.5" customHeight="1">
      <c r="A5" s="96"/>
      <c r="B5" s="111"/>
      <c r="C5" s="96"/>
      <c r="D5" s="161" t="s">
        <v>156</v>
      </c>
      <c r="E5" s="96"/>
      <c r="F5" s="136" t="s">
        <v>155</v>
      </c>
      <c r="G5" s="96"/>
    </row>
    <row r="6" ht="34.5" customHeight="1">
      <c r="A6" s="96"/>
      <c r="B6" s="111"/>
      <c r="C6" s="96"/>
      <c r="D6" s="162"/>
      <c r="E6" s="96"/>
      <c r="F6" s="137" t="s">
        <v>379</v>
      </c>
      <c r="G6" s="96"/>
    </row>
    <row r="7" ht="34.5" customHeight="1">
      <c r="A7" s="96"/>
      <c r="B7" s="111"/>
      <c r="C7" s="96"/>
      <c r="D7" s="162"/>
      <c r="E7" s="96"/>
      <c r="F7" s="138" t="s">
        <v>380</v>
      </c>
      <c r="G7" s="96"/>
    </row>
    <row r="8" ht="34.5" customHeight="1">
      <c r="A8" s="96"/>
      <c r="B8" s="111"/>
      <c r="C8" s="96"/>
      <c r="E8" s="96"/>
      <c r="F8" s="139" t="s">
        <v>381</v>
      </c>
      <c r="G8" s="96"/>
    </row>
    <row r="9" ht="34.5" customHeight="1">
      <c r="A9" s="96"/>
      <c r="B9" s="96"/>
      <c r="C9" s="96"/>
      <c r="E9" s="96"/>
      <c r="F9" s="163" t="s">
        <v>382</v>
      </c>
      <c r="G9" s="96"/>
    </row>
    <row r="10" ht="34.5" customHeight="1">
      <c r="A10" s="96"/>
      <c r="B10" s="96"/>
      <c r="C10" s="96"/>
      <c r="D10" s="162"/>
      <c r="E10" s="96"/>
      <c r="F10" s="164"/>
      <c r="G10" s="96"/>
    </row>
    <row r="11" ht="34.5" customHeight="1">
      <c r="A11" s="96"/>
      <c r="B11" s="96"/>
      <c r="C11" s="96"/>
      <c r="D11" s="162"/>
      <c r="E11" s="96"/>
      <c r="F11" s="164"/>
      <c r="G11" s="96"/>
    </row>
    <row r="12" ht="15.75" customHeight="1">
      <c r="A12" s="96"/>
      <c r="B12" s="96"/>
      <c r="C12" s="96"/>
      <c r="D12" s="162"/>
      <c r="E12" s="96"/>
      <c r="F12" s="162"/>
      <c r="G12" s="96"/>
    </row>
    <row r="13" ht="15.75" customHeight="1">
      <c r="A13" s="96"/>
      <c r="B13" s="96"/>
      <c r="C13" s="96"/>
      <c r="D13" s="162"/>
      <c r="E13" s="96"/>
      <c r="F13" s="162"/>
      <c r="G13" s="96"/>
    </row>
    <row r="14" ht="15.75" customHeight="1">
      <c r="A14" s="96"/>
      <c r="B14" s="96"/>
      <c r="C14" s="96"/>
      <c r="D14" s="162"/>
      <c r="E14" s="96"/>
      <c r="F14" s="162"/>
      <c r="G14" s="96"/>
    </row>
    <row r="15" ht="15.75" customHeight="1">
      <c r="A15" s="96"/>
      <c r="B15" s="96"/>
      <c r="C15" s="96"/>
      <c r="D15" s="162"/>
      <c r="E15" s="96"/>
      <c r="F15" s="162"/>
      <c r="G15" s="96"/>
    </row>
    <row r="16" ht="15.75" customHeight="1">
      <c r="A16" s="96"/>
      <c r="B16" s="96"/>
      <c r="C16" s="96"/>
      <c r="D16" s="162"/>
      <c r="E16" s="96"/>
      <c r="F16" s="162"/>
      <c r="G16" s="96"/>
    </row>
    <row r="17" ht="15.75" customHeight="1">
      <c r="A17" s="96"/>
      <c r="B17" s="96"/>
      <c r="C17" s="96"/>
      <c r="D17" s="162"/>
      <c r="E17" s="96"/>
      <c r="G17" s="96"/>
    </row>
    <row r="18" ht="15.75" customHeight="1">
      <c r="A18" s="96"/>
      <c r="B18" s="96"/>
      <c r="C18" s="96"/>
      <c r="D18" s="162"/>
      <c r="E18" s="96"/>
      <c r="G18" s="96"/>
    </row>
    <row r="19" ht="15.75" customHeight="1">
      <c r="A19" s="96"/>
      <c r="B19" s="96"/>
      <c r="C19" s="96"/>
      <c r="D19" s="162"/>
      <c r="E19" s="96"/>
      <c r="G19" s="96"/>
    </row>
    <row r="20" ht="15.75" customHeight="1">
      <c r="A20" s="96"/>
      <c r="B20" s="96"/>
      <c r="C20" s="96"/>
      <c r="D20" s="162"/>
      <c r="E20" s="96"/>
      <c r="G20" s="96"/>
    </row>
    <row r="21" ht="15.75" customHeight="1">
      <c r="A21" s="96"/>
      <c r="B21" s="96"/>
      <c r="C21" s="96"/>
      <c r="D21" s="162"/>
      <c r="E21" s="96"/>
      <c r="G21" s="96"/>
    </row>
    <row r="22" ht="15.75" customHeight="1">
      <c r="A22" s="96"/>
      <c r="B22" s="96"/>
      <c r="C22" s="96"/>
      <c r="D22" s="162"/>
      <c r="E22" s="96"/>
      <c r="G22" s="96"/>
    </row>
    <row r="23" ht="15.75" customHeight="1">
      <c r="A23" s="96"/>
      <c r="B23" s="96"/>
      <c r="C23" s="96"/>
      <c r="D23" s="162"/>
      <c r="E23" s="96"/>
      <c r="G23" s="96"/>
    </row>
    <row r="24" ht="15.75" customHeight="1">
      <c r="A24" s="96"/>
      <c r="B24" s="96"/>
      <c r="C24" s="96"/>
      <c r="D24" s="162"/>
      <c r="E24" s="96"/>
      <c r="G24" s="96"/>
    </row>
    <row r="25" ht="15.75" customHeight="1">
      <c r="A25" s="96"/>
      <c r="B25" s="96"/>
      <c r="C25" s="96"/>
      <c r="D25" s="162"/>
      <c r="E25" s="96"/>
      <c r="G25" s="96"/>
    </row>
    <row r="26" ht="15.75" customHeight="1">
      <c r="A26" s="96"/>
      <c r="B26" s="96"/>
      <c r="C26" s="96"/>
      <c r="D26" s="162"/>
      <c r="E26" s="96"/>
      <c r="G26" s="96"/>
    </row>
    <row r="27" ht="15.75" customHeight="1">
      <c r="A27" s="96"/>
      <c r="B27" s="96"/>
      <c r="C27" s="96"/>
      <c r="D27" s="162"/>
      <c r="E27" s="96"/>
      <c r="G27" s="96"/>
    </row>
    <row r="28" ht="15.75" customHeight="1">
      <c r="A28" s="96"/>
      <c r="B28" s="96"/>
      <c r="C28" s="96"/>
      <c r="D28" s="162"/>
      <c r="E28" s="96"/>
      <c r="G28" s="96"/>
    </row>
    <row r="29" ht="15.75" customHeight="1">
      <c r="A29" s="96"/>
      <c r="B29" s="96"/>
      <c r="C29" s="96"/>
      <c r="D29" s="162"/>
      <c r="E29" s="96"/>
      <c r="G29" s="96"/>
    </row>
    <row r="30" ht="15.75" customHeight="1">
      <c r="A30" s="96"/>
      <c r="B30" s="96"/>
      <c r="C30" s="96"/>
      <c r="D30" s="162"/>
      <c r="E30" s="96"/>
      <c r="G30" s="96"/>
    </row>
    <row r="31" ht="15.75" customHeight="1">
      <c r="A31" s="96"/>
      <c r="B31" s="96"/>
      <c r="C31" s="96"/>
      <c r="D31" s="162"/>
      <c r="E31" s="96"/>
      <c r="G31" s="96"/>
    </row>
    <row r="32" ht="15.75" customHeight="1">
      <c r="D32" s="162"/>
    </row>
    <row r="33" ht="15.75" customHeight="1">
      <c r="A33" s="96"/>
      <c r="B33" s="96"/>
      <c r="C33" s="96"/>
      <c r="E33" s="96"/>
      <c r="G33" s="96"/>
    </row>
    <row r="34" ht="15.75" customHeight="1">
      <c r="A34" s="96"/>
      <c r="B34" s="96"/>
      <c r="C34" s="96"/>
      <c r="E34" s="96"/>
      <c r="G34" s="96"/>
    </row>
    <row r="35" ht="15.75" customHeight="1">
      <c r="A35" s="96"/>
      <c r="B35" s="96"/>
      <c r="C35" s="96"/>
      <c r="E35" s="96"/>
      <c r="G35" s="96"/>
    </row>
    <row r="36" ht="15.75" customHeight="1">
      <c r="A36" s="96"/>
      <c r="B36" s="96"/>
      <c r="C36" s="96"/>
      <c r="E36" s="96"/>
      <c r="G36" s="96"/>
    </row>
    <row r="37" ht="15.75" customHeight="1">
      <c r="A37" s="96"/>
      <c r="B37" s="96"/>
      <c r="C37" s="96"/>
      <c r="E37" s="96"/>
      <c r="G37" s="96"/>
    </row>
    <row r="38" ht="15.75" customHeight="1">
      <c r="A38" s="96"/>
      <c r="B38" s="96"/>
      <c r="C38" s="96"/>
      <c r="E38" s="96"/>
      <c r="G38" s="96"/>
    </row>
    <row r="39" ht="15.75" customHeight="1">
      <c r="A39" s="96"/>
      <c r="B39" s="96"/>
      <c r="C39" s="96"/>
      <c r="E39" s="96"/>
      <c r="G39" s="96"/>
    </row>
    <row r="40" ht="15.75" customHeight="1">
      <c r="A40" s="96"/>
      <c r="B40" s="96"/>
      <c r="C40" s="96"/>
      <c r="E40" s="96"/>
      <c r="G40" s="96"/>
    </row>
    <row r="41" ht="15.75" customHeight="1">
      <c r="A41" s="96"/>
      <c r="B41" s="96"/>
      <c r="C41" s="96"/>
      <c r="E41" s="96"/>
      <c r="G41" s="96"/>
    </row>
    <row r="42" ht="15.75" customHeight="1">
      <c r="A42" s="96"/>
      <c r="B42" s="96"/>
      <c r="C42" s="96"/>
      <c r="E42" s="96"/>
      <c r="G42" s="96"/>
    </row>
    <row r="43" ht="15.75" customHeight="1">
      <c r="A43" s="96"/>
      <c r="B43" s="96"/>
      <c r="C43" s="96"/>
      <c r="E43" s="96"/>
      <c r="G43" s="96"/>
    </row>
    <row r="44" ht="15.75" customHeight="1">
      <c r="A44" s="96"/>
      <c r="B44" s="96"/>
      <c r="C44" s="96"/>
      <c r="E44" s="96"/>
      <c r="G44" s="96"/>
    </row>
    <row r="45" ht="15.75" customHeight="1">
      <c r="A45" s="96"/>
      <c r="B45" s="96"/>
      <c r="C45" s="96"/>
      <c r="E45" s="96"/>
      <c r="G45" s="96"/>
    </row>
    <row r="46" ht="15.75" customHeight="1">
      <c r="A46" s="96"/>
      <c r="B46" s="96"/>
      <c r="C46" s="96"/>
      <c r="E46" s="96"/>
      <c r="G46" s="96"/>
    </row>
    <row r="47" ht="15.75" customHeight="1">
      <c r="A47" s="96"/>
      <c r="B47" s="96"/>
      <c r="C47" s="96"/>
      <c r="E47" s="96"/>
      <c r="G47" s="96"/>
    </row>
    <row r="48" ht="15.75" customHeight="1">
      <c r="A48" s="96"/>
      <c r="B48" s="96"/>
      <c r="C48" s="96"/>
      <c r="E48" s="96"/>
      <c r="G48" s="96"/>
    </row>
    <row r="49" ht="15.75" customHeight="1">
      <c r="A49" s="96"/>
      <c r="B49" s="96"/>
      <c r="C49" s="96"/>
      <c r="E49" s="96"/>
      <c r="G49" s="96"/>
    </row>
    <row r="50" ht="15.75" customHeight="1">
      <c r="A50" s="96"/>
      <c r="B50" s="96"/>
      <c r="C50" s="96"/>
      <c r="E50" s="96"/>
      <c r="G50" s="96"/>
    </row>
    <row r="51" ht="15.75" customHeight="1">
      <c r="A51" s="96"/>
      <c r="B51" s="96"/>
      <c r="C51" s="96"/>
      <c r="E51" s="96"/>
      <c r="G51" s="96"/>
    </row>
    <row r="52" ht="15.75" customHeight="1">
      <c r="A52" s="96"/>
      <c r="B52" s="96"/>
      <c r="C52" s="96"/>
      <c r="E52" s="96"/>
      <c r="G52" s="96"/>
    </row>
    <row r="53" ht="15.75" customHeight="1">
      <c r="A53" s="96"/>
      <c r="B53" s="96"/>
      <c r="C53" s="96"/>
      <c r="E53" s="96"/>
      <c r="G53" s="96"/>
    </row>
    <row r="54" ht="15.75" customHeight="1">
      <c r="A54" s="96"/>
      <c r="B54" s="96"/>
      <c r="C54" s="96"/>
      <c r="E54" s="96"/>
      <c r="G54" s="96"/>
    </row>
    <row r="55" ht="15.75" customHeight="1">
      <c r="A55" s="96"/>
      <c r="B55" s="96"/>
      <c r="C55" s="96"/>
      <c r="E55" s="96"/>
      <c r="G55" s="96"/>
    </row>
    <row r="56" ht="15.75" customHeight="1">
      <c r="A56" s="96"/>
      <c r="B56" s="96"/>
      <c r="C56" s="96"/>
      <c r="E56" s="96"/>
      <c r="G56" s="96"/>
    </row>
    <row r="57" ht="15.75" customHeight="1">
      <c r="A57" s="96"/>
      <c r="B57" s="96"/>
      <c r="C57" s="96"/>
      <c r="E57" s="96"/>
      <c r="G57" s="96"/>
    </row>
    <row r="58" ht="15.75" customHeight="1">
      <c r="A58" s="96"/>
      <c r="B58" s="96"/>
      <c r="C58" s="96"/>
      <c r="E58" s="96"/>
      <c r="G58" s="96"/>
    </row>
    <row r="59" ht="15.75" customHeight="1">
      <c r="A59" s="96"/>
      <c r="B59" s="96"/>
      <c r="C59" s="96"/>
      <c r="E59" s="96"/>
      <c r="G59" s="96"/>
    </row>
    <row r="60" ht="15.75" customHeight="1">
      <c r="A60" s="96"/>
      <c r="B60" s="96"/>
      <c r="C60" s="96"/>
      <c r="E60" s="96"/>
      <c r="G60" s="96"/>
    </row>
    <row r="61" ht="15.75" customHeight="1">
      <c r="A61" s="96"/>
      <c r="B61" s="96"/>
      <c r="C61" s="96"/>
      <c r="E61" s="96"/>
      <c r="G61" s="96"/>
    </row>
    <row r="62" ht="15.75" customHeight="1">
      <c r="A62" s="111"/>
      <c r="B62" s="111"/>
      <c r="C62" s="111"/>
      <c r="E62" s="111"/>
      <c r="G62" s="111"/>
    </row>
    <row r="63" ht="15.75" customHeight="1">
      <c r="A63" s="111"/>
      <c r="B63" s="111"/>
      <c r="C63" s="111"/>
      <c r="E63" s="111"/>
      <c r="G63" s="111"/>
    </row>
    <row r="64" ht="15.75" customHeight="1">
      <c r="A64" s="111"/>
      <c r="B64" s="111"/>
      <c r="C64" s="111"/>
      <c r="E64" s="111"/>
      <c r="G64" s="111"/>
    </row>
    <row r="65" ht="15.75" customHeight="1">
      <c r="A65" s="111"/>
      <c r="B65" s="111"/>
      <c r="C65" s="111"/>
      <c r="E65" s="111"/>
      <c r="G65" s="111"/>
    </row>
    <row r="66" ht="15.75" customHeight="1">
      <c r="A66" s="111"/>
      <c r="B66" s="111"/>
      <c r="C66" s="111"/>
      <c r="E66" s="111"/>
      <c r="G66" s="111"/>
    </row>
    <row r="67" ht="15.75" customHeight="1">
      <c r="A67" s="111"/>
      <c r="B67" s="111"/>
      <c r="C67" s="111"/>
      <c r="E67" s="111"/>
      <c r="G67" s="111"/>
    </row>
    <row r="68" ht="15.75" customHeight="1">
      <c r="A68" s="111"/>
      <c r="B68" s="111"/>
      <c r="C68" s="111"/>
      <c r="E68" s="111"/>
      <c r="G68" s="111"/>
    </row>
    <row r="69" ht="15.75" customHeight="1">
      <c r="A69" s="111"/>
      <c r="B69" s="111"/>
      <c r="C69" s="111"/>
      <c r="E69" s="111"/>
      <c r="G69" s="111"/>
    </row>
    <row r="70" ht="15.75" customHeight="1">
      <c r="A70" s="111"/>
      <c r="B70" s="111"/>
      <c r="C70" s="111"/>
      <c r="E70" s="111"/>
      <c r="G70" s="111"/>
    </row>
    <row r="71" ht="15.75" customHeight="1">
      <c r="A71" s="111"/>
      <c r="B71" s="111"/>
      <c r="C71" s="111"/>
      <c r="E71" s="111"/>
      <c r="G71" s="111"/>
    </row>
    <row r="72" ht="15.75" customHeight="1">
      <c r="A72" s="111"/>
      <c r="B72" s="111"/>
      <c r="C72" s="111"/>
      <c r="E72" s="111"/>
      <c r="G72" s="111"/>
    </row>
    <row r="73" ht="15.75" customHeight="1">
      <c r="A73" s="111"/>
      <c r="B73" s="111"/>
      <c r="C73" s="111"/>
      <c r="E73" s="111"/>
      <c r="G73" s="111"/>
    </row>
    <row r="74" ht="15.75" customHeight="1">
      <c r="A74" s="111"/>
      <c r="B74" s="111"/>
      <c r="C74" s="111"/>
      <c r="E74" s="111"/>
      <c r="G74" s="111"/>
    </row>
    <row r="75" ht="15.75" customHeight="1">
      <c r="A75" s="111"/>
      <c r="B75" s="111"/>
      <c r="C75" s="111"/>
      <c r="E75" s="111"/>
      <c r="G75" s="111"/>
    </row>
    <row r="76" ht="15.75" customHeight="1">
      <c r="A76" s="111"/>
      <c r="B76" s="111"/>
      <c r="C76" s="111"/>
      <c r="E76" s="111"/>
      <c r="G76" s="111"/>
    </row>
    <row r="77" ht="15.75" customHeight="1">
      <c r="A77" s="111"/>
      <c r="B77" s="111"/>
      <c r="C77" s="111"/>
      <c r="E77" s="111"/>
      <c r="G77" s="111"/>
    </row>
    <row r="78" ht="15.75" customHeight="1">
      <c r="A78" s="111"/>
      <c r="B78" s="111"/>
      <c r="C78" s="111"/>
      <c r="E78" s="111"/>
      <c r="G78" s="111"/>
    </row>
    <row r="79" ht="15.75" customHeight="1">
      <c r="A79" s="111"/>
      <c r="B79" s="111"/>
      <c r="C79" s="111"/>
      <c r="E79" s="111"/>
      <c r="G79" s="111"/>
    </row>
    <row r="80" ht="15.75" customHeight="1">
      <c r="A80" s="111"/>
      <c r="B80" s="111"/>
      <c r="C80" s="111"/>
      <c r="E80" s="111"/>
      <c r="G80" s="111"/>
    </row>
    <row r="81" ht="15.75" customHeight="1">
      <c r="A81" s="111"/>
      <c r="B81" s="111"/>
      <c r="C81" s="111"/>
      <c r="E81" s="111"/>
      <c r="G81" s="111"/>
    </row>
    <row r="82" ht="15.75" customHeight="1">
      <c r="A82" s="111"/>
      <c r="B82" s="111"/>
      <c r="C82" s="111"/>
      <c r="E82" s="111"/>
      <c r="G82" s="111"/>
    </row>
    <row r="83" ht="15.75" customHeight="1">
      <c r="A83" s="111"/>
      <c r="B83" s="111"/>
      <c r="C83" s="111"/>
      <c r="E83" s="111"/>
      <c r="G83" s="111"/>
    </row>
    <row r="84" ht="15.75" customHeight="1">
      <c r="A84" s="111"/>
      <c r="B84" s="111"/>
      <c r="C84" s="111"/>
      <c r="E84" s="111"/>
      <c r="G84" s="111"/>
    </row>
    <row r="85" ht="15.75" customHeight="1">
      <c r="A85" s="111"/>
      <c r="B85" s="111"/>
      <c r="C85" s="111"/>
      <c r="E85" s="111"/>
      <c r="G85" s="111"/>
    </row>
    <row r="86" ht="15.75" customHeight="1">
      <c r="A86" s="111"/>
      <c r="B86" s="111"/>
      <c r="C86" s="111"/>
      <c r="E86" s="111"/>
      <c r="G86" s="111"/>
    </row>
    <row r="87" ht="15.75" customHeight="1">
      <c r="A87" s="111"/>
      <c r="B87" s="111"/>
      <c r="C87" s="111"/>
      <c r="E87" s="111"/>
      <c r="G87" s="111"/>
    </row>
    <row r="88" ht="15.75" customHeight="1">
      <c r="A88" s="111"/>
      <c r="B88" s="111"/>
      <c r="C88" s="111"/>
      <c r="E88" s="111"/>
      <c r="G88" s="111"/>
    </row>
    <row r="89" ht="15.75" customHeight="1">
      <c r="A89" s="111"/>
      <c r="B89" s="111"/>
      <c r="C89" s="111"/>
      <c r="E89" s="111"/>
      <c r="G89" s="111"/>
    </row>
    <row r="90" ht="15.75" customHeight="1">
      <c r="A90" s="111"/>
      <c r="B90" s="111"/>
      <c r="C90" s="111"/>
      <c r="E90" s="111"/>
      <c r="G90" s="111"/>
    </row>
    <row r="91" ht="15.75" customHeight="1">
      <c r="A91" s="111"/>
      <c r="B91" s="111"/>
      <c r="C91" s="111"/>
      <c r="E91" s="111"/>
      <c r="G91" s="111"/>
    </row>
    <row r="92" ht="15.75" customHeight="1">
      <c r="A92" s="111"/>
      <c r="B92" s="111"/>
      <c r="C92" s="111"/>
      <c r="E92" s="111"/>
      <c r="G92" s="111"/>
    </row>
    <row r="93" ht="15.75" customHeight="1">
      <c r="A93" s="111"/>
      <c r="B93" s="111"/>
      <c r="C93" s="111"/>
      <c r="E93" s="111"/>
      <c r="G93" s="111"/>
    </row>
    <row r="94" ht="15.75" customHeight="1">
      <c r="A94" s="111"/>
      <c r="B94" s="111"/>
      <c r="C94" s="111"/>
      <c r="E94" s="111"/>
      <c r="G94" s="111"/>
    </row>
    <row r="95" ht="15.75" customHeight="1">
      <c r="A95" s="111"/>
      <c r="B95" s="111"/>
      <c r="C95" s="111"/>
      <c r="E95" s="111"/>
      <c r="G95" s="111"/>
    </row>
    <row r="96" ht="15.75" customHeight="1">
      <c r="A96" s="111"/>
      <c r="B96" s="111"/>
      <c r="C96" s="111"/>
      <c r="E96" s="111"/>
      <c r="G96" s="111"/>
    </row>
    <row r="97" ht="15.75" customHeight="1">
      <c r="A97" s="111"/>
      <c r="B97" s="111"/>
      <c r="C97" s="111"/>
      <c r="E97" s="111"/>
      <c r="G97" s="111"/>
    </row>
    <row r="98" ht="15.75" customHeight="1">
      <c r="A98" s="111"/>
      <c r="B98" s="111"/>
      <c r="C98" s="111"/>
      <c r="E98" s="111"/>
      <c r="G98" s="111"/>
    </row>
    <row r="99" ht="15.75" customHeight="1">
      <c r="A99" s="111"/>
      <c r="B99" s="111"/>
      <c r="C99" s="111"/>
      <c r="E99" s="111"/>
      <c r="G99" s="111"/>
    </row>
    <row r="100" ht="15.75" customHeight="1">
      <c r="A100" s="111"/>
      <c r="B100" s="111"/>
      <c r="C100" s="111"/>
      <c r="E100" s="111"/>
      <c r="G100" s="111"/>
    </row>
    <row r="101" ht="15.75" customHeight="1">
      <c r="A101" s="111"/>
      <c r="B101" s="111"/>
      <c r="C101" s="111"/>
      <c r="E101" s="111"/>
      <c r="G101" s="111"/>
    </row>
    <row r="102" ht="15.75" customHeight="1">
      <c r="A102" s="111"/>
      <c r="B102" s="111"/>
      <c r="C102" s="111"/>
      <c r="E102" s="111"/>
      <c r="G102" s="111"/>
    </row>
    <row r="103" ht="15.75" customHeight="1">
      <c r="A103" s="111"/>
      <c r="B103" s="111"/>
      <c r="C103" s="111"/>
      <c r="E103" s="111"/>
      <c r="G103" s="111"/>
    </row>
    <row r="104" ht="15.75" customHeight="1">
      <c r="A104" s="111"/>
      <c r="B104" s="111"/>
      <c r="C104" s="111"/>
      <c r="E104" s="111"/>
      <c r="G104" s="111"/>
    </row>
    <row r="105" ht="15.75" customHeight="1">
      <c r="A105" s="111"/>
      <c r="B105" s="111"/>
      <c r="C105" s="111"/>
      <c r="E105" s="111"/>
      <c r="G105" s="111"/>
    </row>
    <row r="106" ht="15.75" customHeight="1">
      <c r="A106" s="111"/>
      <c r="B106" s="111"/>
      <c r="C106" s="111"/>
      <c r="E106" s="111"/>
      <c r="G106" s="111"/>
    </row>
    <row r="107" ht="15.75" customHeight="1">
      <c r="A107" s="111"/>
      <c r="B107" s="111"/>
      <c r="C107" s="111"/>
      <c r="E107" s="111"/>
      <c r="G107" s="111"/>
    </row>
    <row r="108" ht="15.75" customHeight="1">
      <c r="A108" s="111"/>
      <c r="B108" s="111"/>
      <c r="C108" s="111"/>
      <c r="E108" s="111"/>
      <c r="G108" s="111"/>
    </row>
    <row r="109" ht="15.75" customHeight="1">
      <c r="A109" s="111"/>
      <c r="B109" s="111"/>
      <c r="C109" s="111"/>
      <c r="E109" s="111"/>
      <c r="G109" s="111"/>
    </row>
    <row r="110" ht="15.75" customHeight="1">
      <c r="A110" s="111"/>
      <c r="B110" s="111"/>
      <c r="C110" s="111"/>
      <c r="E110" s="111"/>
      <c r="G110" s="111"/>
    </row>
    <row r="111" ht="15.75" customHeight="1">
      <c r="A111" s="111"/>
      <c r="B111" s="111"/>
      <c r="C111" s="111"/>
      <c r="E111" s="111"/>
      <c r="G111" s="111"/>
    </row>
    <row r="112" ht="15.75" customHeight="1">
      <c r="A112" s="111"/>
      <c r="B112" s="111"/>
      <c r="C112" s="111"/>
      <c r="E112" s="111"/>
      <c r="G112" s="111"/>
    </row>
    <row r="113" ht="15.75" customHeight="1">
      <c r="A113" s="111"/>
      <c r="B113" s="111"/>
      <c r="C113" s="111"/>
      <c r="E113" s="111"/>
      <c r="G113" s="111"/>
    </row>
    <row r="114" ht="15.75" customHeight="1">
      <c r="A114" s="111"/>
      <c r="B114" s="111"/>
      <c r="C114" s="111"/>
      <c r="E114" s="111"/>
      <c r="G114" s="111"/>
    </row>
    <row r="115" ht="15.75" customHeight="1">
      <c r="A115" s="111"/>
      <c r="B115" s="111"/>
      <c r="C115" s="111"/>
      <c r="E115" s="111"/>
      <c r="G115" s="111"/>
    </row>
    <row r="116" ht="15.75" customHeight="1">
      <c r="A116" s="111"/>
      <c r="B116" s="111"/>
      <c r="C116" s="111"/>
      <c r="E116" s="111"/>
      <c r="G116" s="111"/>
    </row>
    <row r="117" ht="15.75" customHeight="1">
      <c r="A117" s="111"/>
      <c r="B117" s="111"/>
      <c r="C117" s="111"/>
      <c r="E117" s="111"/>
      <c r="G117" s="111"/>
    </row>
    <row r="118" ht="15.75" customHeight="1">
      <c r="A118" s="111"/>
      <c r="B118" s="111"/>
      <c r="C118" s="111"/>
      <c r="E118" s="111"/>
      <c r="G118" s="111"/>
    </row>
    <row r="119" ht="15.75" customHeight="1">
      <c r="A119" s="111"/>
      <c r="B119" s="111"/>
      <c r="C119" s="111"/>
      <c r="E119" s="111"/>
      <c r="G119" s="111"/>
    </row>
    <row r="120" ht="15.75" customHeight="1">
      <c r="A120" s="111"/>
      <c r="B120" s="111"/>
      <c r="C120" s="111"/>
      <c r="E120" s="111"/>
      <c r="G120" s="111"/>
    </row>
    <row r="121" ht="15.75" customHeight="1">
      <c r="A121" s="111"/>
      <c r="B121" s="111"/>
      <c r="C121" s="111"/>
      <c r="E121" s="111"/>
      <c r="G121" s="111"/>
    </row>
    <row r="122" ht="15.75" customHeight="1">
      <c r="A122" s="111"/>
      <c r="B122" s="111"/>
      <c r="C122" s="111"/>
      <c r="E122" s="111"/>
      <c r="G122" s="111"/>
    </row>
    <row r="123" ht="15.75" customHeight="1">
      <c r="A123" s="111"/>
      <c r="B123" s="111"/>
      <c r="C123" s="111"/>
      <c r="E123" s="111"/>
      <c r="G123" s="111"/>
    </row>
    <row r="124" ht="15.75" customHeight="1">
      <c r="A124" s="111"/>
      <c r="B124" s="111"/>
      <c r="C124" s="111"/>
      <c r="E124" s="111"/>
      <c r="G124" s="111"/>
    </row>
    <row r="125" ht="15.75" customHeight="1">
      <c r="A125" s="111"/>
      <c r="B125" s="111"/>
      <c r="C125" s="111"/>
      <c r="E125" s="111"/>
      <c r="G125" s="111"/>
    </row>
    <row r="126" ht="15.75" customHeight="1">
      <c r="A126" s="111"/>
      <c r="B126" s="111"/>
      <c r="C126" s="111"/>
      <c r="E126" s="111"/>
      <c r="G126" s="111"/>
    </row>
    <row r="127" ht="15.75" customHeight="1">
      <c r="A127" s="111"/>
      <c r="B127" s="111"/>
      <c r="C127" s="111"/>
      <c r="E127" s="111"/>
      <c r="G127" s="111"/>
    </row>
    <row r="128" ht="15.75" customHeight="1">
      <c r="A128" s="111"/>
      <c r="B128" s="111"/>
      <c r="C128" s="111"/>
      <c r="E128" s="111"/>
      <c r="G128" s="111"/>
    </row>
    <row r="129" ht="15.75" customHeight="1">
      <c r="A129" s="111"/>
      <c r="B129" s="111"/>
      <c r="C129" s="111"/>
      <c r="E129" s="111"/>
      <c r="G129" s="111"/>
    </row>
    <row r="130" ht="15.75" customHeight="1">
      <c r="A130" s="111"/>
      <c r="B130" s="111"/>
      <c r="C130" s="111"/>
      <c r="E130" s="111"/>
      <c r="G130" s="111"/>
    </row>
    <row r="131" ht="15.75" customHeight="1">
      <c r="A131" s="111"/>
      <c r="B131" s="111"/>
      <c r="C131" s="111"/>
      <c r="E131" s="111"/>
      <c r="G131" s="111"/>
    </row>
    <row r="132" ht="15.75" customHeight="1">
      <c r="A132" s="111"/>
      <c r="B132" s="111"/>
      <c r="C132" s="111"/>
      <c r="E132" s="111"/>
      <c r="G132" s="111"/>
    </row>
    <row r="133" ht="15.75" customHeight="1">
      <c r="A133" s="111"/>
      <c r="B133" s="111"/>
      <c r="C133" s="111"/>
      <c r="E133" s="111"/>
      <c r="G133" s="111"/>
    </row>
    <row r="134" ht="15.75" customHeight="1">
      <c r="A134" s="111"/>
      <c r="B134" s="111"/>
      <c r="C134" s="111"/>
      <c r="E134" s="111"/>
      <c r="G134" s="111"/>
    </row>
    <row r="135" ht="15.75" customHeight="1">
      <c r="A135" s="111"/>
      <c r="B135" s="111"/>
      <c r="C135" s="111"/>
      <c r="E135" s="111"/>
      <c r="G135" s="111"/>
    </row>
    <row r="136" ht="15.75" customHeight="1">
      <c r="A136" s="111"/>
      <c r="B136" s="111"/>
      <c r="C136" s="111"/>
      <c r="E136" s="111"/>
      <c r="G136" s="111"/>
    </row>
    <row r="137" ht="15.75" customHeight="1">
      <c r="A137" s="111"/>
      <c r="B137" s="111"/>
      <c r="C137" s="111"/>
      <c r="E137" s="111"/>
      <c r="G137" s="111"/>
    </row>
    <row r="138" ht="15.75" customHeight="1">
      <c r="A138" s="111"/>
      <c r="B138" s="111"/>
      <c r="C138" s="111"/>
      <c r="E138" s="111"/>
      <c r="G138" s="111"/>
    </row>
    <row r="139" ht="15.75" customHeight="1">
      <c r="A139" s="111"/>
      <c r="B139" s="111"/>
      <c r="C139" s="111"/>
      <c r="E139" s="111"/>
      <c r="G139" s="111"/>
    </row>
    <row r="140" ht="15.75" customHeight="1">
      <c r="A140" s="111"/>
      <c r="B140" s="111"/>
      <c r="C140" s="111"/>
      <c r="E140" s="111"/>
      <c r="G140" s="111"/>
    </row>
    <row r="141" ht="15.75" customHeight="1">
      <c r="A141" s="111"/>
      <c r="B141" s="111"/>
      <c r="C141" s="111"/>
      <c r="E141" s="111"/>
      <c r="G141" s="111"/>
    </row>
    <row r="142" ht="15.75" customHeight="1">
      <c r="A142" s="111"/>
      <c r="B142" s="111"/>
      <c r="C142" s="111"/>
      <c r="E142" s="111"/>
      <c r="G142" s="111"/>
    </row>
    <row r="143" ht="15.75" customHeight="1">
      <c r="A143" s="111"/>
      <c r="B143" s="111"/>
      <c r="C143" s="111"/>
      <c r="E143" s="111"/>
      <c r="G143" s="111"/>
    </row>
    <row r="144" ht="15.75" customHeight="1">
      <c r="A144" s="111"/>
      <c r="B144" s="111"/>
      <c r="C144" s="111"/>
      <c r="E144" s="111"/>
      <c r="G144" s="111"/>
    </row>
    <row r="145" ht="15.75" customHeight="1">
      <c r="A145" s="111"/>
      <c r="B145" s="111"/>
      <c r="C145" s="111"/>
      <c r="E145" s="111"/>
      <c r="G145" s="111"/>
    </row>
    <row r="146" ht="15.75" customHeight="1">
      <c r="A146" s="111"/>
      <c r="B146" s="111"/>
      <c r="C146" s="111"/>
      <c r="E146" s="111"/>
      <c r="G146" s="111"/>
    </row>
    <row r="147" ht="15.75" customHeight="1">
      <c r="A147" s="111"/>
      <c r="B147" s="111"/>
      <c r="C147" s="111"/>
      <c r="E147" s="111"/>
      <c r="G147" s="111"/>
    </row>
    <row r="148" ht="15.75" customHeight="1">
      <c r="A148" s="111"/>
      <c r="B148" s="111"/>
      <c r="C148" s="111"/>
      <c r="E148" s="111"/>
      <c r="G148" s="111"/>
    </row>
    <row r="149" ht="15.75" customHeight="1">
      <c r="A149" s="111"/>
      <c r="B149" s="111"/>
      <c r="C149" s="111"/>
      <c r="E149" s="111"/>
      <c r="G149" s="111"/>
    </row>
    <row r="150" ht="15.75" customHeight="1">
      <c r="A150" s="111"/>
      <c r="B150" s="111"/>
      <c r="C150" s="111"/>
      <c r="E150" s="111"/>
      <c r="G150" s="111"/>
    </row>
    <row r="151" ht="15.75" customHeight="1">
      <c r="A151" s="111"/>
      <c r="B151" s="111"/>
      <c r="C151" s="111"/>
      <c r="E151" s="111"/>
      <c r="G151" s="111"/>
    </row>
    <row r="152" ht="15.75" customHeight="1">
      <c r="A152" s="111"/>
      <c r="B152" s="111"/>
      <c r="C152" s="111"/>
      <c r="E152" s="111"/>
      <c r="G152" s="111"/>
    </row>
    <row r="153" ht="15.75" customHeight="1">
      <c r="A153" s="111"/>
      <c r="B153" s="111"/>
      <c r="C153" s="111"/>
      <c r="E153" s="111"/>
      <c r="G153" s="111"/>
    </row>
    <row r="154" ht="15.75" customHeight="1">
      <c r="A154" s="111"/>
      <c r="B154" s="111"/>
      <c r="C154" s="111"/>
      <c r="E154" s="111"/>
      <c r="G154" s="111"/>
    </row>
    <row r="155" ht="15.75" customHeight="1">
      <c r="A155" s="111"/>
      <c r="B155" s="111"/>
      <c r="C155" s="111"/>
      <c r="E155" s="111"/>
      <c r="G155" s="111"/>
    </row>
    <row r="156" ht="15.75" customHeight="1">
      <c r="A156" s="111"/>
      <c r="B156" s="111"/>
      <c r="C156" s="111"/>
      <c r="E156" s="111"/>
      <c r="G156" s="111"/>
    </row>
    <row r="157" ht="15.75" customHeight="1">
      <c r="A157" s="111"/>
      <c r="B157" s="111"/>
      <c r="C157" s="111"/>
      <c r="E157" s="111"/>
      <c r="G157" s="111"/>
    </row>
    <row r="158" ht="15.75" customHeight="1">
      <c r="A158" s="111"/>
      <c r="B158" s="111"/>
      <c r="C158" s="111"/>
      <c r="E158" s="111"/>
      <c r="G158" s="111"/>
    </row>
    <row r="159" ht="15.75" customHeight="1">
      <c r="A159" s="111"/>
      <c r="B159" s="111"/>
      <c r="C159" s="111"/>
      <c r="E159" s="111"/>
      <c r="G159" s="111"/>
    </row>
    <row r="160" ht="15.75" customHeight="1">
      <c r="A160" s="111"/>
      <c r="B160" s="111"/>
      <c r="C160" s="111"/>
      <c r="E160" s="111"/>
      <c r="G160" s="111"/>
    </row>
    <row r="161" ht="15.75" customHeight="1">
      <c r="A161" s="111"/>
      <c r="B161" s="111"/>
      <c r="C161" s="111"/>
      <c r="E161" s="111"/>
      <c r="G161" s="111"/>
    </row>
    <row r="162" ht="15.75" customHeight="1">
      <c r="A162" s="111"/>
      <c r="B162" s="111"/>
      <c r="C162" s="111"/>
      <c r="E162" s="111"/>
      <c r="G162" s="111"/>
    </row>
    <row r="163" ht="15.75" customHeight="1">
      <c r="A163" s="111"/>
      <c r="B163" s="111"/>
      <c r="C163" s="111"/>
      <c r="E163" s="111"/>
      <c r="G163" s="111"/>
    </row>
    <row r="164" ht="15.75" customHeight="1">
      <c r="A164" s="111"/>
      <c r="B164" s="111"/>
      <c r="C164" s="111"/>
      <c r="E164" s="111"/>
      <c r="G164" s="111"/>
    </row>
    <row r="165" ht="15.75" customHeight="1">
      <c r="A165" s="111"/>
      <c r="B165" s="111"/>
      <c r="C165" s="111"/>
      <c r="E165" s="111"/>
      <c r="G165" s="111"/>
    </row>
    <row r="166" ht="15.75" customHeight="1">
      <c r="A166" s="111"/>
      <c r="B166" s="111"/>
      <c r="C166" s="111"/>
      <c r="E166" s="111"/>
      <c r="G166" s="111"/>
    </row>
    <row r="167" ht="15.75" customHeight="1">
      <c r="A167" s="111"/>
      <c r="B167" s="111"/>
      <c r="C167" s="111"/>
      <c r="E167" s="111"/>
      <c r="G167" s="111"/>
    </row>
    <row r="168" ht="15.75" customHeight="1">
      <c r="A168" s="111"/>
      <c r="B168" s="111"/>
      <c r="C168" s="111"/>
      <c r="E168" s="111"/>
      <c r="G168" s="111"/>
    </row>
    <row r="169" ht="15.75" customHeight="1">
      <c r="A169" s="111"/>
      <c r="B169" s="111"/>
      <c r="C169" s="111"/>
      <c r="E169" s="111"/>
      <c r="G169" s="111"/>
    </row>
    <row r="170" ht="15.75" customHeight="1">
      <c r="A170" s="111"/>
      <c r="B170" s="111"/>
      <c r="C170" s="111"/>
      <c r="E170" s="111"/>
      <c r="G170" s="111"/>
    </row>
    <row r="171" ht="15.75" customHeight="1">
      <c r="A171" s="111"/>
      <c r="B171" s="111"/>
      <c r="C171" s="111"/>
      <c r="E171" s="111"/>
      <c r="G171" s="111"/>
    </row>
    <row r="172" ht="15.75" customHeight="1">
      <c r="A172" s="111"/>
      <c r="B172" s="111"/>
      <c r="C172" s="111"/>
      <c r="E172" s="111"/>
      <c r="G172" s="111"/>
    </row>
    <row r="173" ht="15.75" customHeight="1">
      <c r="A173" s="111"/>
      <c r="B173" s="111"/>
      <c r="C173" s="111"/>
      <c r="E173" s="111"/>
      <c r="G173" s="111"/>
    </row>
    <row r="174" ht="15.75" customHeight="1">
      <c r="A174" s="111"/>
      <c r="B174" s="111"/>
      <c r="C174" s="111"/>
      <c r="E174" s="111"/>
      <c r="G174" s="111"/>
    </row>
    <row r="175" ht="15.75" customHeight="1">
      <c r="A175" s="111"/>
      <c r="B175" s="111"/>
      <c r="C175" s="111"/>
      <c r="E175" s="111"/>
      <c r="G175" s="111"/>
    </row>
    <row r="176" ht="15.75" customHeight="1">
      <c r="A176" s="111"/>
      <c r="B176" s="111"/>
      <c r="C176" s="111"/>
      <c r="E176" s="111"/>
      <c r="G176" s="111"/>
    </row>
    <row r="177" ht="15.75" customHeight="1">
      <c r="A177" s="111"/>
      <c r="B177" s="111"/>
      <c r="C177" s="111"/>
      <c r="E177" s="111"/>
      <c r="G177" s="111"/>
    </row>
    <row r="178" ht="15.75" customHeight="1">
      <c r="A178" s="111"/>
      <c r="B178" s="111"/>
      <c r="C178" s="111"/>
      <c r="E178" s="111"/>
      <c r="G178" s="111"/>
    </row>
    <row r="179" ht="15.75" customHeight="1">
      <c r="A179" s="111"/>
      <c r="B179" s="111"/>
      <c r="C179" s="111"/>
      <c r="E179" s="111"/>
      <c r="G179" s="111"/>
    </row>
    <row r="180" ht="15.75" customHeight="1">
      <c r="A180" s="111"/>
      <c r="B180" s="111"/>
      <c r="C180" s="111"/>
      <c r="E180" s="111"/>
      <c r="G180" s="111"/>
    </row>
    <row r="181" ht="15.75" customHeight="1">
      <c r="A181" s="111"/>
      <c r="B181" s="111"/>
      <c r="C181" s="111"/>
      <c r="E181" s="111"/>
      <c r="G181" s="111"/>
    </row>
    <row r="182" ht="15.75" customHeight="1">
      <c r="A182" s="111"/>
      <c r="B182" s="111"/>
      <c r="C182" s="111"/>
      <c r="E182" s="111"/>
      <c r="G182" s="111"/>
    </row>
    <row r="183" ht="15.75" customHeight="1">
      <c r="A183" s="111"/>
      <c r="B183" s="111"/>
      <c r="C183" s="111"/>
      <c r="E183" s="111"/>
      <c r="G183" s="111"/>
    </row>
    <row r="184" ht="15.75" customHeight="1">
      <c r="A184" s="111"/>
      <c r="B184" s="111"/>
      <c r="C184" s="111"/>
      <c r="E184" s="111"/>
      <c r="G184" s="111"/>
    </row>
    <row r="185" ht="15.75" customHeight="1">
      <c r="A185" s="111"/>
      <c r="B185" s="111"/>
      <c r="C185" s="111"/>
      <c r="E185" s="111"/>
      <c r="G185" s="111"/>
    </row>
    <row r="186" ht="15.75" customHeight="1">
      <c r="A186" s="111"/>
      <c r="B186" s="111"/>
      <c r="C186" s="111"/>
      <c r="E186" s="111"/>
      <c r="G186" s="111"/>
    </row>
    <row r="187" ht="15.75" customHeight="1">
      <c r="A187" s="111"/>
      <c r="B187" s="111"/>
      <c r="C187" s="111"/>
      <c r="E187" s="111"/>
      <c r="G187" s="111"/>
    </row>
    <row r="188" ht="15.75" customHeight="1">
      <c r="A188" s="111"/>
      <c r="B188" s="111"/>
      <c r="C188" s="111"/>
      <c r="E188" s="111"/>
      <c r="G188" s="111"/>
    </row>
    <row r="189" ht="15.75" customHeight="1">
      <c r="A189" s="111"/>
      <c r="B189" s="111"/>
      <c r="C189" s="111"/>
      <c r="E189" s="111"/>
      <c r="G189" s="111"/>
    </row>
    <row r="190" ht="15.75" customHeight="1">
      <c r="A190" s="111"/>
      <c r="B190" s="111"/>
      <c r="C190" s="111"/>
      <c r="E190" s="111"/>
      <c r="G190" s="111"/>
    </row>
    <row r="191" ht="15.75" customHeight="1">
      <c r="A191" s="111"/>
      <c r="B191" s="111"/>
      <c r="C191" s="111"/>
      <c r="E191" s="111"/>
      <c r="G191" s="111"/>
    </row>
    <row r="192" ht="15.75" customHeight="1">
      <c r="A192" s="111"/>
      <c r="B192" s="111"/>
      <c r="C192" s="111"/>
      <c r="E192" s="111"/>
      <c r="G192" s="111"/>
    </row>
    <row r="193" ht="15.75" customHeight="1">
      <c r="A193" s="111"/>
      <c r="B193" s="111"/>
      <c r="C193" s="111"/>
      <c r="E193" s="111"/>
      <c r="G193" s="111"/>
    </row>
    <row r="194" ht="15.75" customHeight="1">
      <c r="A194" s="111"/>
      <c r="B194" s="111"/>
      <c r="C194" s="111"/>
      <c r="E194" s="111"/>
      <c r="G194" s="111"/>
    </row>
    <row r="195" ht="15.75" customHeight="1">
      <c r="A195" s="111"/>
      <c r="B195" s="111"/>
      <c r="C195" s="111"/>
      <c r="E195" s="111"/>
      <c r="G195" s="111"/>
    </row>
    <row r="196" ht="15.75" customHeight="1">
      <c r="A196" s="111"/>
      <c r="B196" s="111"/>
      <c r="C196" s="111"/>
      <c r="E196" s="111"/>
      <c r="G196" s="111"/>
    </row>
    <row r="197" ht="15.75" customHeight="1">
      <c r="A197" s="111"/>
      <c r="B197" s="111"/>
      <c r="C197" s="111"/>
      <c r="E197" s="111"/>
      <c r="G197" s="111"/>
    </row>
    <row r="198" ht="15.75" customHeight="1">
      <c r="A198" s="111"/>
      <c r="B198" s="111"/>
      <c r="C198" s="111"/>
      <c r="E198" s="111"/>
      <c r="G198" s="111"/>
    </row>
    <row r="199" ht="15.75" customHeight="1">
      <c r="A199" s="111"/>
      <c r="B199" s="111"/>
      <c r="C199" s="111"/>
      <c r="E199" s="111"/>
      <c r="G199" s="111"/>
    </row>
    <row r="200" ht="15.75" customHeight="1">
      <c r="A200" s="111"/>
      <c r="B200" s="111"/>
      <c r="C200" s="111"/>
      <c r="E200" s="111"/>
      <c r="G200" s="111"/>
    </row>
    <row r="201" ht="15.75" customHeight="1">
      <c r="A201" s="111"/>
      <c r="B201" s="111"/>
      <c r="C201" s="111"/>
      <c r="E201" s="111"/>
      <c r="G201" s="111"/>
    </row>
    <row r="202" ht="15.75" customHeight="1">
      <c r="A202" s="111"/>
      <c r="B202" s="111"/>
      <c r="C202" s="111"/>
      <c r="E202" s="111"/>
      <c r="G202" s="111"/>
    </row>
    <row r="203" ht="15.75" customHeight="1">
      <c r="A203" s="111"/>
      <c r="B203" s="111"/>
      <c r="C203" s="111"/>
      <c r="E203" s="111"/>
      <c r="G203" s="111"/>
    </row>
    <row r="204" ht="15.75" customHeight="1">
      <c r="A204" s="111"/>
      <c r="B204" s="111"/>
      <c r="C204" s="111"/>
      <c r="E204" s="111"/>
      <c r="G204" s="111"/>
    </row>
    <row r="205" ht="15.75" customHeight="1">
      <c r="A205" s="111"/>
      <c r="B205" s="111"/>
      <c r="C205" s="111"/>
      <c r="E205" s="111"/>
      <c r="G205" s="111"/>
    </row>
    <row r="206" ht="15.75" customHeight="1">
      <c r="A206" s="111"/>
      <c r="B206" s="111"/>
      <c r="C206" s="111"/>
      <c r="E206" s="111"/>
      <c r="G206" s="111"/>
    </row>
    <row r="207" ht="15.75" customHeight="1">
      <c r="A207" s="111"/>
      <c r="B207" s="111"/>
      <c r="C207" s="111"/>
      <c r="E207" s="111"/>
      <c r="G207" s="111"/>
    </row>
    <row r="208" ht="15.75" customHeight="1">
      <c r="A208" s="111"/>
      <c r="B208" s="111"/>
      <c r="C208" s="111"/>
      <c r="E208" s="111"/>
      <c r="G208" s="111"/>
    </row>
    <row r="209" ht="15.75" customHeight="1">
      <c r="A209" s="111"/>
      <c r="B209" s="111"/>
      <c r="C209" s="111"/>
      <c r="E209" s="111"/>
      <c r="G209" s="111"/>
    </row>
    <row r="210" ht="15.75" customHeight="1">
      <c r="A210" s="111"/>
      <c r="B210" s="111"/>
      <c r="C210" s="111"/>
      <c r="E210" s="111"/>
      <c r="G210" s="111"/>
    </row>
    <row r="211" ht="15.75" customHeight="1">
      <c r="A211" s="111"/>
      <c r="B211" s="111"/>
      <c r="C211" s="111"/>
      <c r="E211" s="111"/>
      <c r="G211" s="111"/>
    </row>
    <row r="212" ht="15.75" customHeight="1">
      <c r="A212" s="111"/>
      <c r="B212" s="111"/>
      <c r="C212" s="111"/>
      <c r="E212" s="111"/>
      <c r="G212" s="111"/>
    </row>
    <row r="213" ht="15.75" customHeight="1">
      <c r="A213" s="111"/>
      <c r="B213" s="111"/>
      <c r="C213" s="111"/>
      <c r="E213" s="111"/>
      <c r="G213" s="111"/>
    </row>
    <row r="214" ht="15.75" customHeight="1">
      <c r="A214" s="111"/>
      <c r="B214" s="111"/>
      <c r="C214" s="111"/>
      <c r="E214" s="111"/>
      <c r="G214" s="111"/>
    </row>
    <row r="215" ht="15.75" customHeight="1">
      <c r="A215" s="111"/>
      <c r="B215" s="111"/>
      <c r="C215" s="111"/>
      <c r="E215" s="111"/>
      <c r="G215" s="111"/>
    </row>
    <row r="216" ht="15.75" customHeight="1">
      <c r="A216" s="111"/>
      <c r="B216" s="111"/>
      <c r="C216" s="111"/>
      <c r="E216" s="111"/>
      <c r="G216" s="111"/>
    </row>
    <row r="217" ht="15.75" customHeight="1">
      <c r="A217" s="111"/>
      <c r="B217" s="111"/>
      <c r="C217" s="111"/>
      <c r="E217" s="111"/>
      <c r="G217" s="111"/>
    </row>
    <row r="218" ht="15.75" customHeight="1">
      <c r="A218" s="111"/>
      <c r="B218" s="111"/>
      <c r="C218" s="111"/>
      <c r="E218" s="111"/>
      <c r="G218" s="111"/>
    </row>
    <row r="219" ht="15.75" customHeight="1">
      <c r="A219" s="111"/>
      <c r="B219" s="111"/>
      <c r="C219" s="111"/>
      <c r="E219" s="111"/>
      <c r="G219" s="111"/>
    </row>
    <row r="220" ht="15.75" customHeight="1">
      <c r="A220" s="111"/>
      <c r="B220" s="111"/>
      <c r="C220" s="111"/>
      <c r="E220" s="111"/>
      <c r="G220" s="111"/>
    </row>
    <row r="221" ht="15.75" customHeight="1">
      <c r="A221" s="111"/>
      <c r="B221" s="111"/>
      <c r="C221" s="111"/>
      <c r="E221" s="111"/>
      <c r="G221" s="111"/>
    </row>
    <row r="222" ht="15.75" customHeight="1">
      <c r="A222" s="111"/>
      <c r="B222" s="111"/>
      <c r="C222" s="111"/>
      <c r="E222" s="111"/>
      <c r="G222" s="111"/>
    </row>
    <row r="223" ht="15.75" customHeight="1">
      <c r="A223" s="111"/>
      <c r="B223" s="111"/>
      <c r="C223" s="111"/>
      <c r="E223" s="111"/>
      <c r="G223" s="111"/>
    </row>
    <row r="224" ht="15.75" customHeight="1">
      <c r="A224" s="111"/>
      <c r="B224" s="111"/>
      <c r="C224" s="111"/>
      <c r="E224" s="111"/>
      <c r="G224" s="111"/>
    </row>
    <row r="225" ht="15.75" customHeight="1">
      <c r="A225" s="111"/>
      <c r="B225" s="111"/>
      <c r="C225" s="111"/>
      <c r="E225" s="111"/>
      <c r="G225" s="111"/>
    </row>
    <row r="226" ht="15.75" customHeight="1">
      <c r="A226" s="111"/>
      <c r="B226" s="111"/>
      <c r="C226" s="111"/>
      <c r="E226" s="111"/>
      <c r="G226" s="111"/>
    </row>
    <row r="227" ht="15.75" customHeight="1">
      <c r="A227" s="111"/>
      <c r="B227" s="111"/>
      <c r="C227" s="111"/>
      <c r="E227" s="111"/>
      <c r="G227" s="111"/>
    </row>
    <row r="228" ht="15.75" customHeight="1">
      <c r="A228" s="111"/>
      <c r="B228" s="111"/>
      <c r="C228" s="111"/>
      <c r="E228" s="111"/>
      <c r="G228" s="111"/>
    </row>
    <row r="229" ht="15.75" customHeight="1">
      <c r="A229" s="111"/>
      <c r="B229" s="111"/>
      <c r="C229" s="111"/>
      <c r="E229" s="111"/>
      <c r="G229" s="111"/>
    </row>
    <row r="230" ht="15.75" customHeight="1">
      <c r="A230" s="111"/>
      <c r="B230" s="111"/>
      <c r="C230" s="111"/>
      <c r="E230" s="111"/>
      <c r="G230" s="111"/>
    </row>
    <row r="231" ht="15.75" customHeight="1">
      <c r="A231" s="111"/>
      <c r="B231" s="111"/>
      <c r="C231" s="111"/>
      <c r="E231" s="111"/>
      <c r="G231" s="111"/>
    </row>
    <row r="232" ht="15.75" customHeight="1">
      <c r="A232" s="111"/>
      <c r="B232" s="111"/>
      <c r="C232" s="111"/>
      <c r="E232" s="111"/>
      <c r="G232" s="111"/>
    </row>
    <row r="233" ht="15.75" customHeight="1">
      <c r="A233" s="111"/>
      <c r="B233" s="111"/>
      <c r="C233" s="111"/>
      <c r="E233" s="111"/>
      <c r="G233" s="111"/>
    </row>
    <row r="234" ht="15.75" customHeight="1">
      <c r="A234" s="111"/>
      <c r="B234" s="111"/>
      <c r="C234" s="111"/>
      <c r="E234" s="111"/>
      <c r="G234" s="111"/>
    </row>
    <row r="235" ht="15.75" customHeight="1">
      <c r="A235" s="111"/>
      <c r="B235" s="111"/>
      <c r="C235" s="111"/>
      <c r="E235" s="111"/>
      <c r="G235" s="111"/>
    </row>
    <row r="236" ht="15.75" customHeight="1">
      <c r="A236" s="111"/>
      <c r="B236" s="111"/>
      <c r="C236" s="111"/>
      <c r="E236" s="111"/>
      <c r="G236" s="111"/>
    </row>
    <row r="237" ht="15.75" customHeight="1">
      <c r="A237" s="111"/>
      <c r="B237" s="111"/>
      <c r="C237" s="111"/>
      <c r="E237" s="111"/>
      <c r="G237" s="111"/>
    </row>
    <row r="238" ht="15.75" customHeight="1">
      <c r="A238" s="111"/>
      <c r="B238" s="111"/>
      <c r="C238" s="111"/>
      <c r="E238" s="111"/>
      <c r="G238" s="111"/>
    </row>
    <row r="239" ht="15.75" customHeight="1">
      <c r="A239" s="111"/>
      <c r="B239" s="111"/>
      <c r="C239" s="111"/>
      <c r="E239" s="111"/>
      <c r="G239" s="111"/>
    </row>
    <row r="240" ht="15.75" customHeight="1">
      <c r="A240" s="111"/>
      <c r="B240" s="111"/>
      <c r="C240" s="111"/>
      <c r="E240" s="111"/>
      <c r="G240" s="111"/>
    </row>
    <row r="241" ht="15.75" customHeight="1">
      <c r="A241" s="111"/>
      <c r="B241" s="111"/>
      <c r="C241" s="111"/>
      <c r="E241" s="111"/>
      <c r="G241" s="111"/>
    </row>
    <row r="242" ht="15.75" customHeight="1">
      <c r="A242" s="111"/>
      <c r="B242" s="111"/>
      <c r="C242" s="111"/>
      <c r="E242" s="111"/>
      <c r="G242" s="111"/>
    </row>
    <row r="243" ht="15.75" customHeight="1">
      <c r="A243" s="111"/>
      <c r="B243" s="111"/>
      <c r="C243" s="111"/>
      <c r="E243" s="111"/>
      <c r="G243" s="111"/>
    </row>
    <row r="244" ht="15.75" customHeight="1">
      <c r="A244" s="111"/>
      <c r="B244" s="111"/>
      <c r="C244" s="111"/>
      <c r="E244" s="111"/>
      <c r="G244" s="111"/>
    </row>
    <row r="245" ht="15.75" customHeight="1">
      <c r="A245" s="111"/>
      <c r="B245" s="111"/>
      <c r="C245" s="111"/>
      <c r="E245" s="111"/>
      <c r="G245" s="111"/>
    </row>
    <row r="246" ht="15.75" customHeight="1">
      <c r="A246" s="111"/>
      <c r="B246" s="111"/>
      <c r="C246" s="111"/>
      <c r="E246" s="111"/>
      <c r="G246" s="111"/>
    </row>
    <row r="247" ht="15.75" customHeight="1">
      <c r="A247" s="111"/>
      <c r="B247" s="111"/>
      <c r="C247" s="111"/>
      <c r="E247" s="111"/>
      <c r="G247" s="111"/>
    </row>
    <row r="248" ht="15.75" customHeight="1">
      <c r="A248" s="111"/>
      <c r="B248" s="111"/>
      <c r="C248" s="111"/>
      <c r="E248" s="111"/>
      <c r="G248" s="111"/>
    </row>
    <row r="249" ht="15.75" customHeight="1">
      <c r="A249" s="111"/>
      <c r="B249" s="111"/>
      <c r="C249" s="111"/>
      <c r="E249" s="111"/>
      <c r="G249" s="111"/>
    </row>
    <row r="250" ht="15.75" customHeight="1">
      <c r="A250" s="111"/>
      <c r="B250" s="111"/>
      <c r="C250" s="111"/>
      <c r="E250" s="111"/>
      <c r="G250" s="111"/>
    </row>
    <row r="251" ht="15.75" customHeight="1">
      <c r="A251" s="111"/>
      <c r="B251" s="111"/>
      <c r="C251" s="111"/>
      <c r="E251" s="111"/>
      <c r="G251" s="111"/>
    </row>
    <row r="252" ht="15.75" customHeight="1">
      <c r="A252" s="111"/>
      <c r="B252" s="111"/>
      <c r="C252" s="111"/>
      <c r="E252" s="111"/>
      <c r="G252" s="111"/>
    </row>
    <row r="253" ht="15.75" customHeight="1">
      <c r="A253" s="111"/>
      <c r="B253" s="111"/>
      <c r="C253" s="111"/>
      <c r="E253" s="111"/>
      <c r="G253" s="111"/>
    </row>
    <row r="254" ht="15.75" customHeight="1">
      <c r="A254" s="111"/>
      <c r="B254" s="111"/>
      <c r="C254" s="111"/>
      <c r="E254" s="111"/>
      <c r="G254" s="111"/>
    </row>
    <row r="255" ht="15.75" customHeight="1">
      <c r="A255" s="111"/>
      <c r="B255" s="111"/>
      <c r="C255" s="111"/>
      <c r="E255" s="111"/>
      <c r="G255" s="111"/>
    </row>
    <row r="256" ht="15.75" customHeight="1">
      <c r="A256" s="111"/>
      <c r="B256" s="111"/>
      <c r="C256" s="111"/>
      <c r="E256" s="111"/>
      <c r="G256" s="111"/>
    </row>
    <row r="257" ht="15.75" customHeight="1">
      <c r="A257" s="111"/>
      <c r="B257" s="111"/>
      <c r="C257" s="111"/>
      <c r="E257" s="111"/>
      <c r="G257" s="111"/>
    </row>
    <row r="258" ht="15.75" customHeight="1">
      <c r="A258" s="111"/>
      <c r="B258" s="111"/>
      <c r="C258" s="111"/>
      <c r="E258" s="111"/>
      <c r="G258" s="111"/>
    </row>
    <row r="259" ht="15.75" customHeight="1">
      <c r="A259" s="111"/>
      <c r="B259" s="111"/>
      <c r="C259" s="111"/>
      <c r="E259" s="111"/>
      <c r="G259" s="111"/>
    </row>
    <row r="260" ht="15.75" customHeight="1">
      <c r="A260" s="111"/>
      <c r="B260" s="111"/>
      <c r="C260" s="111"/>
      <c r="E260" s="111"/>
      <c r="G260" s="111"/>
    </row>
    <row r="261" ht="15.75" customHeight="1">
      <c r="A261" s="111"/>
      <c r="B261" s="111"/>
      <c r="C261" s="111"/>
      <c r="E261" s="111"/>
      <c r="G261" s="111"/>
    </row>
    <row r="262" ht="15.75" customHeight="1">
      <c r="A262" s="111"/>
      <c r="B262" s="111"/>
      <c r="C262" s="111"/>
      <c r="E262" s="111"/>
      <c r="G262" s="111"/>
    </row>
    <row r="263" ht="15.75" customHeight="1">
      <c r="A263" s="111"/>
      <c r="B263" s="111"/>
      <c r="C263" s="111"/>
      <c r="E263" s="111"/>
      <c r="G263" s="111"/>
    </row>
    <row r="264" ht="15.75" customHeight="1">
      <c r="A264" s="111"/>
      <c r="B264" s="111"/>
      <c r="C264" s="111"/>
      <c r="E264" s="111"/>
      <c r="G264" s="111"/>
    </row>
    <row r="265" ht="15.75" customHeight="1">
      <c r="A265" s="111"/>
      <c r="B265" s="111"/>
      <c r="C265" s="111"/>
      <c r="E265" s="111"/>
      <c r="G265" s="111"/>
    </row>
    <row r="266" ht="15.75" customHeight="1">
      <c r="A266" s="111"/>
      <c r="B266" s="111"/>
      <c r="C266" s="111"/>
      <c r="E266" s="111"/>
      <c r="G266" s="111"/>
    </row>
    <row r="267" ht="15.75" customHeight="1">
      <c r="A267" s="111"/>
      <c r="B267" s="111"/>
      <c r="C267" s="111"/>
      <c r="E267" s="111"/>
      <c r="G267" s="111"/>
    </row>
    <row r="268" ht="15.75" customHeight="1">
      <c r="A268" s="111"/>
      <c r="B268" s="111"/>
      <c r="C268" s="111"/>
      <c r="E268" s="111"/>
      <c r="G268" s="111"/>
    </row>
    <row r="269" ht="15.75" customHeight="1">
      <c r="A269" s="111"/>
      <c r="B269" s="111"/>
      <c r="C269" s="111"/>
      <c r="E269" s="111"/>
      <c r="G269" s="111"/>
    </row>
    <row r="270" ht="15.75" customHeight="1">
      <c r="A270" s="111"/>
      <c r="B270" s="111"/>
      <c r="C270" s="111"/>
      <c r="E270" s="111"/>
      <c r="G270" s="111"/>
    </row>
    <row r="271" ht="15.75" customHeight="1">
      <c r="A271" s="111"/>
      <c r="B271" s="111"/>
      <c r="C271" s="111"/>
      <c r="E271" s="111"/>
      <c r="G271" s="111"/>
    </row>
    <row r="272" ht="15.75" customHeight="1">
      <c r="A272" s="111"/>
      <c r="B272" s="111"/>
      <c r="C272" s="111"/>
      <c r="E272" s="111"/>
      <c r="G272" s="111"/>
    </row>
    <row r="273" ht="15.75" customHeight="1">
      <c r="A273" s="111"/>
      <c r="B273" s="111"/>
      <c r="C273" s="111"/>
      <c r="E273" s="111"/>
      <c r="G273" s="111"/>
    </row>
    <row r="274" ht="15.75" customHeight="1">
      <c r="A274" s="111"/>
      <c r="B274" s="111"/>
      <c r="C274" s="111"/>
      <c r="E274" s="111"/>
      <c r="G274" s="111"/>
    </row>
    <row r="275" ht="15.75" customHeight="1">
      <c r="A275" s="111"/>
      <c r="B275" s="111"/>
      <c r="C275" s="111"/>
      <c r="E275" s="111"/>
      <c r="G275" s="111"/>
    </row>
    <row r="276" ht="15.75" customHeight="1">
      <c r="A276" s="111"/>
      <c r="B276" s="111"/>
      <c r="C276" s="111"/>
      <c r="E276" s="111"/>
      <c r="G276" s="111"/>
    </row>
    <row r="277" ht="15.75" customHeight="1">
      <c r="A277" s="111"/>
      <c r="B277" s="111"/>
      <c r="C277" s="111"/>
      <c r="E277" s="111"/>
      <c r="G277" s="111"/>
    </row>
    <row r="278" ht="15.75" customHeight="1">
      <c r="A278" s="111"/>
      <c r="B278" s="111"/>
      <c r="C278" s="111"/>
      <c r="E278" s="111"/>
      <c r="G278" s="111"/>
    </row>
    <row r="279" ht="15.75" customHeight="1">
      <c r="A279" s="111"/>
      <c r="B279" s="111"/>
      <c r="C279" s="111"/>
      <c r="E279" s="111"/>
      <c r="G279" s="111"/>
    </row>
    <row r="280" ht="15.75" customHeight="1">
      <c r="A280" s="111"/>
      <c r="B280" s="111"/>
      <c r="C280" s="111"/>
      <c r="E280" s="111"/>
      <c r="G280" s="111"/>
    </row>
    <row r="281" ht="15.75" customHeight="1">
      <c r="A281" s="111"/>
      <c r="B281" s="111"/>
      <c r="C281" s="111"/>
      <c r="E281" s="111"/>
      <c r="G281" s="111"/>
    </row>
    <row r="282" ht="15.75" customHeight="1">
      <c r="A282" s="111"/>
      <c r="B282" s="111"/>
      <c r="C282" s="111"/>
      <c r="E282" s="111"/>
      <c r="G282" s="111"/>
    </row>
    <row r="283" ht="15.75" customHeight="1">
      <c r="A283" s="111"/>
      <c r="B283" s="111"/>
      <c r="C283" s="111"/>
      <c r="E283" s="111"/>
      <c r="G283" s="111"/>
    </row>
    <row r="284" ht="15.75" customHeight="1">
      <c r="A284" s="111"/>
      <c r="B284" s="111"/>
      <c r="C284" s="111"/>
      <c r="E284" s="111"/>
      <c r="G284" s="111"/>
    </row>
    <row r="285" ht="15.75" customHeight="1">
      <c r="A285" s="111"/>
      <c r="B285" s="111"/>
      <c r="C285" s="111"/>
      <c r="E285" s="111"/>
      <c r="G285" s="111"/>
    </row>
    <row r="286" ht="15.75" customHeight="1">
      <c r="A286" s="111"/>
      <c r="B286" s="111"/>
      <c r="C286" s="111"/>
      <c r="E286" s="111"/>
      <c r="G286" s="111"/>
    </row>
    <row r="287" ht="15.75" customHeight="1">
      <c r="A287" s="111"/>
      <c r="B287" s="111"/>
      <c r="C287" s="111"/>
      <c r="E287" s="111"/>
      <c r="G287" s="111"/>
    </row>
    <row r="288" ht="15.75" customHeight="1">
      <c r="A288" s="111"/>
      <c r="B288" s="111"/>
      <c r="C288" s="111"/>
      <c r="E288" s="111"/>
      <c r="G288" s="111"/>
    </row>
    <row r="289" ht="15.75" customHeight="1">
      <c r="A289" s="111"/>
      <c r="B289" s="111"/>
      <c r="C289" s="111"/>
      <c r="E289" s="111"/>
      <c r="G289" s="111"/>
    </row>
    <row r="290" ht="15.75" customHeight="1">
      <c r="A290" s="111"/>
      <c r="B290" s="111"/>
      <c r="C290" s="111"/>
      <c r="E290" s="111"/>
      <c r="G290" s="111"/>
    </row>
    <row r="291" ht="15.75" customHeight="1">
      <c r="A291" s="111"/>
      <c r="B291" s="111"/>
      <c r="C291" s="111"/>
      <c r="E291" s="111"/>
      <c r="G291" s="111"/>
    </row>
    <row r="292" ht="15.75" customHeight="1">
      <c r="A292" s="111"/>
      <c r="B292" s="111"/>
      <c r="C292" s="111"/>
      <c r="E292" s="111"/>
      <c r="G292" s="111"/>
    </row>
    <row r="293" ht="15.75" customHeight="1">
      <c r="A293" s="111"/>
      <c r="B293" s="111"/>
      <c r="C293" s="111"/>
      <c r="E293" s="111"/>
      <c r="G293" s="111"/>
    </row>
    <row r="294" ht="15.75" customHeight="1">
      <c r="A294" s="111"/>
      <c r="B294" s="111"/>
      <c r="C294" s="111"/>
      <c r="E294" s="111"/>
      <c r="G294" s="111"/>
    </row>
    <row r="295" ht="15.75" customHeight="1">
      <c r="A295" s="111"/>
      <c r="B295" s="111"/>
      <c r="C295" s="111"/>
      <c r="E295" s="111"/>
      <c r="G295" s="111"/>
    </row>
    <row r="296" ht="15.75" customHeight="1">
      <c r="A296" s="111"/>
      <c r="B296" s="111"/>
      <c r="C296" s="111"/>
      <c r="E296" s="111"/>
      <c r="G296" s="111"/>
    </row>
    <row r="297" ht="15.75" customHeight="1">
      <c r="A297" s="111"/>
      <c r="B297" s="111"/>
      <c r="C297" s="111"/>
      <c r="E297" s="111"/>
      <c r="G297" s="111"/>
    </row>
    <row r="298" ht="15.75" customHeight="1">
      <c r="A298" s="111"/>
      <c r="B298" s="111"/>
      <c r="C298" s="111"/>
      <c r="E298" s="111"/>
      <c r="G298" s="111"/>
    </row>
    <row r="299" ht="15.75" customHeight="1">
      <c r="A299" s="111"/>
      <c r="B299" s="111"/>
      <c r="C299" s="111"/>
      <c r="E299" s="111"/>
      <c r="G299" s="111"/>
    </row>
    <row r="300" ht="15.75" customHeight="1">
      <c r="A300" s="111"/>
      <c r="B300" s="111"/>
      <c r="C300" s="111"/>
      <c r="E300" s="111"/>
      <c r="G300" s="111"/>
    </row>
    <row r="301" ht="15.75" customHeight="1">
      <c r="A301" s="111"/>
      <c r="B301" s="111"/>
      <c r="C301" s="111"/>
      <c r="E301" s="111"/>
      <c r="G301" s="111"/>
    </row>
    <row r="302" ht="15.75" customHeight="1">
      <c r="A302" s="111"/>
      <c r="B302" s="111"/>
      <c r="C302" s="111"/>
      <c r="E302" s="111"/>
      <c r="G302" s="111"/>
    </row>
    <row r="303" ht="15.75" customHeight="1">
      <c r="A303" s="111"/>
      <c r="B303" s="111"/>
      <c r="C303" s="111"/>
      <c r="E303" s="111"/>
      <c r="G303" s="111"/>
    </row>
    <row r="304" ht="15.75" customHeight="1">
      <c r="A304" s="111"/>
      <c r="B304" s="111"/>
      <c r="C304" s="111"/>
      <c r="E304" s="111"/>
      <c r="G304" s="111"/>
    </row>
    <row r="305" ht="15.75" customHeight="1">
      <c r="A305" s="111"/>
      <c r="B305" s="111"/>
      <c r="C305" s="111"/>
      <c r="E305" s="111"/>
      <c r="G305" s="111"/>
    </row>
    <row r="306" ht="15.75" customHeight="1">
      <c r="A306" s="111"/>
      <c r="B306" s="111"/>
      <c r="C306" s="111"/>
      <c r="E306" s="111"/>
      <c r="G306" s="111"/>
    </row>
    <row r="307" ht="15.75" customHeight="1">
      <c r="A307" s="111"/>
      <c r="B307" s="111"/>
      <c r="C307" s="111"/>
      <c r="E307" s="111"/>
      <c r="G307" s="111"/>
    </row>
    <row r="308" ht="15.75" customHeight="1">
      <c r="A308" s="111"/>
      <c r="B308" s="111"/>
      <c r="C308" s="111"/>
      <c r="E308" s="111"/>
      <c r="G308" s="111"/>
    </row>
    <row r="309" ht="15.75" customHeight="1">
      <c r="A309" s="111"/>
      <c r="B309" s="111"/>
      <c r="C309" s="111"/>
      <c r="E309" s="111"/>
      <c r="G309" s="111"/>
    </row>
    <row r="310" ht="15.75" customHeight="1">
      <c r="A310" s="111"/>
      <c r="B310" s="111"/>
      <c r="C310" s="111"/>
      <c r="E310" s="111"/>
      <c r="G310" s="111"/>
    </row>
    <row r="311" ht="15.75" customHeight="1">
      <c r="A311" s="111"/>
      <c r="B311" s="111"/>
      <c r="C311" s="111"/>
      <c r="E311" s="111"/>
      <c r="G311" s="111"/>
    </row>
    <row r="312" ht="15.75" customHeight="1">
      <c r="A312" s="111"/>
      <c r="B312" s="111"/>
      <c r="C312" s="111"/>
      <c r="E312" s="111"/>
      <c r="G312" s="111"/>
    </row>
    <row r="313" ht="15.75" customHeight="1">
      <c r="A313" s="111"/>
      <c r="B313" s="111"/>
      <c r="C313" s="111"/>
      <c r="E313" s="111"/>
      <c r="G313" s="111"/>
    </row>
    <row r="314" ht="15.75" customHeight="1">
      <c r="A314" s="111"/>
      <c r="B314" s="111"/>
      <c r="C314" s="111"/>
      <c r="E314" s="111"/>
      <c r="G314" s="111"/>
    </row>
    <row r="315" ht="15.75" customHeight="1">
      <c r="A315" s="111"/>
      <c r="B315" s="111"/>
      <c r="C315" s="111"/>
      <c r="E315" s="111"/>
      <c r="G315" s="111"/>
    </row>
    <row r="316" ht="15.75" customHeight="1">
      <c r="A316" s="111"/>
      <c r="B316" s="111"/>
      <c r="C316" s="111"/>
      <c r="E316" s="111"/>
      <c r="G316" s="111"/>
    </row>
    <row r="317" ht="15.75" customHeight="1">
      <c r="A317" s="111"/>
      <c r="B317" s="111"/>
      <c r="C317" s="111"/>
      <c r="E317" s="111"/>
      <c r="G317" s="111"/>
    </row>
    <row r="318" ht="15.75" customHeight="1">
      <c r="A318" s="111"/>
      <c r="B318" s="111"/>
      <c r="C318" s="111"/>
      <c r="E318" s="111"/>
      <c r="G318" s="111"/>
    </row>
    <row r="319" ht="15.75" customHeight="1">
      <c r="A319" s="111"/>
      <c r="B319" s="111"/>
      <c r="C319" s="111"/>
      <c r="E319" s="111"/>
      <c r="G319" s="111"/>
    </row>
    <row r="320" ht="15.75" customHeight="1">
      <c r="A320" s="111"/>
      <c r="B320" s="111"/>
      <c r="C320" s="111"/>
      <c r="E320" s="111"/>
      <c r="G320" s="111"/>
    </row>
    <row r="321" ht="15.75" customHeight="1">
      <c r="A321" s="111"/>
      <c r="B321" s="111"/>
      <c r="C321" s="111"/>
      <c r="E321" s="111"/>
      <c r="G321" s="111"/>
    </row>
    <row r="322" ht="15.75" customHeight="1">
      <c r="A322" s="111"/>
      <c r="B322" s="111"/>
      <c r="C322" s="111"/>
      <c r="E322" s="111"/>
      <c r="G322" s="111"/>
    </row>
    <row r="323" ht="15.75" customHeight="1">
      <c r="A323" s="111"/>
      <c r="B323" s="111"/>
      <c r="C323" s="111"/>
      <c r="E323" s="111"/>
      <c r="G323" s="111"/>
    </row>
    <row r="324" ht="15.75" customHeight="1">
      <c r="A324" s="111"/>
      <c r="B324" s="111"/>
      <c r="C324" s="111"/>
      <c r="E324" s="111"/>
      <c r="G324" s="111"/>
    </row>
    <row r="325" ht="15.75" customHeight="1">
      <c r="A325" s="111"/>
      <c r="B325" s="111"/>
      <c r="C325" s="111"/>
      <c r="E325" s="111"/>
      <c r="G325" s="111"/>
    </row>
    <row r="326" ht="15.75" customHeight="1">
      <c r="A326" s="111"/>
      <c r="B326" s="111"/>
      <c r="C326" s="111"/>
      <c r="E326" s="111"/>
      <c r="G326" s="111"/>
    </row>
    <row r="327" ht="15.75" customHeight="1">
      <c r="A327" s="111"/>
      <c r="B327" s="111"/>
      <c r="C327" s="111"/>
      <c r="E327" s="111"/>
      <c r="G327" s="111"/>
    </row>
    <row r="328" ht="15.75" customHeight="1">
      <c r="A328" s="111"/>
      <c r="B328" s="111"/>
      <c r="C328" s="111"/>
      <c r="E328" s="111"/>
      <c r="G328" s="111"/>
    </row>
    <row r="329" ht="15.75" customHeight="1">
      <c r="A329" s="111"/>
      <c r="B329" s="111"/>
      <c r="C329" s="111"/>
      <c r="E329" s="111"/>
      <c r="G329" s="111"/>
    </row>
    <row r="330" ht="15.75" customHeight="1">
      <c r="A330" s="111"/>
      <c r="B330" s="111"/>
      <c r="C330" s="111"/>
      <c r="E330" s="111"/>
      <c r="G330" s="111"/>
    </row>
    <row r="331" ht="15.75" customHeight="1">
      <c r="A331" s="111"/>
      <c r="B331" s="111"/>
      <c r="C331" s="111"/>
      <c r="E331" s="111"/>
      <c r="G331" s="111"/>
    </row>
    <row r="332" ht="15.75" customHeight="1">
      <c r="A332" s="111"/>
      <c r="B332" s="111"/>
      <c r="C332" s="111"/>
      <c r="E332" s="111"/>
      <c r="G332" s="111"/>
    </row>
    <row r="333" ht="15.75" customHeight="1">
      <c r="A333" s="111"/>
      <c r="B333" s="111"/>
      <c r="C333" s="111"/>
      <c r="E333" s="111"/>
      <c r="G333" s="111"/>
    </row>
    <row r="334" ht="15.75" customHeight="1">
      <c r="A334" s="111"/>
      <c r="B334" s="111"/>
      <c r="C334" s="111"/>
      <c r="E334" s="111"/>
      <c r="G334" s="111"/>
    </row>
    <row r="335" ht="15.75" customHeight="1">
      <c r="A335" s="111"/>
      <c r="B335" s="111"/>
      <c r="C335" s="111"/>
      <c r="E335" s="111"/>
      <c r="G335" s="111"/>
    </row>
    <row r="336" ht="15.75" customHeight="1">
      <c r="A336" s="111"/>
      <c r="B336" s="111"/>
      <c r="C336" s="111"/>
      <c r="E336" s="111"/>
      <c r="G336" s="111"/>
    </row>
    <row r="337" ht="15.75" customHeight="1">
      <c r="A337" s="111"/>
      <c r="B337" s="111"/>
      <c r="C337" s="111"/>
      <c r="E337" s="111"/>
      <c r="G337" s="111"/>
    </row>
    <row r="338" ht="15.75" customHeight="1">
      <c r="A338" s="111"/>
      <c r="B338" s="111"/>
      <c r="C338" s="111"/>
      <c r="E338" s="111"/>
      <c r="G338" s="111"/>
    </row>
    <row r="339" ht="15.75" customHeight="1">
      <c r="A339" s="111"/>
      <c r="B339" s="111"/>
      <c r="C339" s="111"/>
      <c r="E339" s="111"/>
      <c r="G339" s="111"/>
    </row>
    <row r="340" ht="15.75" customHeight="1">
      <c r="A340" s="111"/>
      <c r="B340" s="111"/>
      <c r="C340" s="111"/>
      <c r="E340" s="111"/>
      <c r="G340" s="111"/>
    </row>
    <row r="341" ht="15.75" customHeight="1">
      <c r="A341" s="111"/>
      <c r="B341" s="111"/>
      <c r="C341" s="111"/>
      <c r="E341" s="111"/>
      <c r="G341" s="111"/>
    </row>
    <row r="342" ht="15.75" customHeight="1">
      <c r="A342" s="111"/>
      <c r="B342" s="111"/>
      <c r="C342" s="111"/>
      <c r="E342" s="111"/>
      <c r="G342" s="111"/>
    </row>
    <row r="343" ht="15.75" customHeight="1">
      <c r="A343" s="111"/>
      <c r="B343" s="111"/>
      <c r="C343" s="111"/>
      <c r="E343" s="111"/>
      <c r="G343" s="111"/>
    </row>
    <row r="344" ht="15.75" customHeight="1">
      <c r="A344" s="111"/>
      <c r="B344" s="111"/>
      <c r="C344" s="111"/>
      <c r="E344" s="111"/>
      <c r="G344" s="111"/>
    </row>
    <row r="345" ht="15.75" customHeight="1">
      <c r="A345" s="111"/>
      <c r="B345" s="111"/>
      <c r="C345" s="111"/>
      <c r="E345" s="111"/>
      <c r="G345" s="111"/>
    </row>
    <row r="346" ht="15.75" customHeight="1">
      <c r="A346" s="111"/>
      <c r="B346" s="111"/>
      <c r="C346" s="111"/>
      <c r="E346" s="111"/>
      <c r="G346" s="111"/>
    </row>
    <row r="347" ht="15.75" customHeight="1">
      <c r="A347" s="111"/>
      <c r="B347" s="111"/>
      <c r="C347" s="111"/>
      <c r="E347" s="111"/>
      <c r="G347" s="111"/>
    </row>
    <row r="348" ht="15.75" customHeight="1">
      <c r="A348" s="111"/>
      <c r="B348" s="111"/>
      <c r="C348" s="111"/>
      <c r="E348" s="111"/>
      <c r="G348" s="111"/>
    </row>
    <row r="349" ht="15.75" customHeight="1">
      <c r="A349" s="111"/>
      <c r="B349" s="111"/>
      <c r="C349" s="111"/>
      <c r="E349" s="111"/>
      <c r="G349" s="111"/>
    </row>
    <row r="350" ht="15.75" customHeight="1">
      <c r="A350" s="111"/>
      <c r="B350" s="111"/>
      <c r="C350" s="111"/>
      <c r="E350" s="111"/>
      <c r="G350" s="111"/>
    </row>
    <row r="351" ht="15.75" customHeight="1">
      <c r="A351" s="111"/>
      <c r="B351" s="111"/>
      <c r="C351" s="111"/>
      <c r="E351" s="111"/>
      <c r="G351" s="111"/>
    </row>
    <row r="352" ht="15.75" customHeight="1">
      <c r="A352" s="111"/>
      <c r="B352" s="111"/>
      <c r="C352" s="111"/>
      <c r="E352" s="111"/>
      <c r="G352" s="111"/>
    </row>
    <row r="353" ht="15.75" customHeight="1">
      <c r="A353" s="111"/>
      <c r="B353" s="111"/>
      <c r="C353" s="111"/>
      <c r="E353" s="111"/>
      <c r="G353" s="111"/>
    </row>
    <row r="354" ht="15.75" customHeight="1">
      <c r="A354" s="111"/>
      <c r="B354" s="111"/>
      <c r="C354" s="111"/>
      <c r="E354" s="111"/>
      <c r="G354" s="111"/>
    </row>
    <row r="355" ht="15.75" customHeight="1">
      <c r="A355" s="111"/>
      <c r="B355" s="111"/>
      <c r="C355" s="111"/>
      <c r="E355" s="111"/>
      <c r="G355" s="111"/>
    </row>
    <row r="356" ht="15.75" customHeight="1">
      <c r="A356" s="111"/>
      <c r="B356" s="111"/>
      <c r="C356" s="111"/>
      <c r="E356" s="111"/>
      <c r="G356" s="111"/>
    </row>
    <row r="357" ht="15.75" customHeight="1">
      <c r="A357" s="111"/>
      <c r="B357" s="111"/>
      <c r="C357" s="111"/>
      <c r="E357" s="111"/>
      <c r="G357" s="111"/>
    </row>
    <row r="358" ht="15.75" customHeight="1">
      <c r="A358" s="111"/>
      <c r="B358" s="111"/>
      <c r="C358" s="111"/>
      <c r="E358" s="111"/>
      <c r="G358" s="111"/>
    </row>
    <row r="359" ht="15.75" customHeight="1">
      <c r="A359" s="111"/>
      <c r="B359" s="111"/>
      <c r="C359" s="111"/>
      <c r="E359" s="111"/>
      <c r="G359" s="111"/>
    </row>
    <row r="360" ht="15.75" customHeight="1">
      <c r="A360" s="111"/>
      <c r="B360" s="111"/>
      <c r="C360" s="111"/>
      <c r="E360" s="111"/>
      <c r="G360" s="111"/>
    </row>
    <row r="361" ht="15.75" customHeight="1">
      <c r="A361" s="111"/>
      <c r="B361" s="111"/>
      <c r="C361" s="111"/>
      <c r="E361" s="111"/>
      <c r="G361" s="111"/>
    </row>
    <row r="362" ht="15.75" customHeight="1">
      <c r="A362" s="111"/>
      <c r="B362" s="111"/>
      <c r="C362" s="111"/>
      <c r="E362" s="111"/>
      <c r="G362" s="111"/>
    </row>
    <row r="363" ht="15.75" customHeight="1">
      <c r="A363" s="111"/>
      <c r="B363" s="111"/>
      <c r="C363" s="111"/>
      <c r="E363" s="111"/>
      <c r="G363" s="111"/>
    </row>
    <row r="364" ht="15.75" customHeight="1">
      <c r="A364" s="111"/>
      <c r="B364" s="111"/>
      <c r="C364" s="111"/>
      <c r="E364" s="111"/>
      <c r="G364" s="111"/>
    </row>
    <row r="365" ht="15.75" customHeight="1">
      <c r="A365" s="111"/>
      <c r="B365" s="111"/>
      <c r="C365" s="111"/>
      <c r="E365" s="111"/>
      <c r="G365" s="111"/>
    </row>
    <row r="366" ht="15.75" customHeight="1">
      <c r="A366" s="111"/>
      <c r="B366" s="111"/>
      <c r="C366" s="111"/>
      <c r="E366" s="111"/>
      <c r="G366" s="111"/>
    </row>
    <row r="367" ht="15.75" customHeight="1">
      <c r="A367" s="111"/>
      <c r="B367" s="111"/>
      <c r="C367" s="111"/>
      <c r="E367" s="111"/>
      <c r="G367" s="111"/>
    </row>
    <row r="368" ht="15.75" customHeight="1">
      <c r="A368" s="111"/>
      <c r="B368" s="111"/>
      <c r="C368" s="111"/>
      <c r="E368" s="111"/>
      <c r="G368" s="111"/>
    </row>
    <row r="369" ht="15.75" customHeight="1">
      <c r="A369" s="111"/>
      <c r="B369" s="111"/>
      <c r="C369" s="111"/>
      <c r="E369" s="111"/>
      <c r="G369" s="111"/>
    </row>
    <row r="370" ht="15.75" customHeight="1">
      <c r="A370" s="111"/>
      <c r="B370" s="111"/>
      <c r="C370" s="111"/>
      <c r="E370" s="111"/>
      <c r="G370" s="111"/>
    </row>
    <row r="371" ht="15.75" customHeight="1">
      <c r="A371" s="111"/>
      <c r="B371" s="111"/>
      <c r="C371" s="111"/>
      <c r="E371" s="111"/>
      <c r="G371" s="111"/>
    </row>
    <row r="372" ht="15.75" customHeight="1">
      <c r="A372" s="111"/>
      <c r="B372" s="111"/>
      <c r="C372" s="111"/>
      <c r="E372" s="111"/>
      <c r="G372" s="111"/>
    </row>
    <row r="373" ht="15.75" customHeight="1">
      <c r="A373" s="111"/>
      <c r="B373" s="111"/>
      <c r="C373" s="111"/>
      <c r="E373" s="111"/>
      <c r="G373" s="111"/>
    </row>
    <row r="374" ht="15.75" customHeight="1">
      <c r="A374" s="111"/>
      <c r="B374" s="111"/>
      <c r="C374" s="111"/>
      <c r="E374" s="111"/>
      <c r="G374" s="111"/>
    </row>
    <row r="375" ht="15.75" customHeight="1">
      <c r="A375" s="111"/>
      <c r="B375" s="111"/>
      <c r="C375" s="111"/>
      <c r="E375" s="111"/>
      <c r="G375" s="111"/>
    </row>
    <row r="376" ht="15.75" customHeight="1">
      <c r="A376" s="111"/>
      <c r="B376" s="111"/>
      <c r="C376" s="111"/>
      <c r="E376" s="111"/>
      <c r="G376" s="111"/>
    </row>
    <row r="377" ht="15.75" customHeight="1">
      <c r="A377" s="111"/>
      <c r="B377" s="111"/>
      <c r="C377" s="111"/>
      <c r="E377" s="111"/>
      <c r="G377" s="111"/>
    </row>
    <row r="378" ht="15.75" customHeight="1">
      <c r="A378" s="111"/>
      <c r="B378" s="111"/>
      <c r="C378" s="111"/>
      <c r="E378" s="111"/>
      <c r="G378" s="111"/>
    </row>
    <row r="379" ht="15.75" customHeight="1">
      <c r="A379" s="111"/>
      <c r="B379" s="111"/>
      <c r="C379" s="111"/>
      <c r="E379" s="111"/>
      <c r="G379" s="111"/>
    </row>
    <row r="380" ht="15.75" customHeight="1">
      <c r="A380" s="111"/>
      <c r="B380" s="111"/>
      <c r="C380" s="111"/>
      <c r="E380" s="111"/>
      <c r="G380" s="111"/>
    </row>
    <row r="381" ht="15.75" customHeight="1">
      <c r="A381" s="111"/>
      <c r="B381" s="111"/>
      <c r="C381" s="111"/>
      <c r="E381" s="111"/>
      <c r="G381" s="111"/>
    </row>
    <row r="382" ht="15.75" customHeight="1">
      <c r="A382" s="111"/>
      <c r="B382" s="111"/>
      <c r="C382" s="111"/>
      <c r="E382" s="111"/>
      <c r="G382" s="111"/>
    </row>
    <row r="383" ht="15.75" customHeight="1">
      <c r="A383" s="111"/>
      <c r="B383" s="111"/>
      <c r="C383" s="111"/>
      <c r="E383" s="111"/>
      <c r="G383" s="111"/>
    </row>
    <row r="384" ht="15.75" customHeight="1">
      <c r="A384" s="111"/>
      <c r="B384" s="111"/>
      <c r="C384" s="111"/>
      <c r="E384" s="111"/>
      <c r="G384" s="111"/>
    </row>
    <row r="385" ht="15.75" customHeight="1">
      <c r="A385" s="111"/>
      <c r="B385" s="111"/>
      <c r="C385" s="111"/>
      <c r="E385" s="111"/>
      <c r="G385" s="111"/>
    </row>
    <row r="386" ht="15.75" customHeight="1">
      <c r="A386" s="111"/>
      <c r="B386" s="111"/>
      <c r="C386" s="111"/>
      <c r="E386" s="111"/>
      <c r="G386" s="111"/>
    </row>
    <row r="387" ht="15.75" customHeight="1">
      <c r="A387" s="111"/>
      <c r="B387" s="111"/>
      <c r="C387" s="111"/>
      <c r="E387" s="111"/>
      <c r="G387" s="111"/>
    </row>
    <row r="388" ht="15.75" customHeight="1">
      <c r="A388" s="111"/>
      <c r="B388" s="111"/>
      <c r="C388" s="111"/>
      <c r="E388" s="111"/>
      <c r="G388" s="111"/>
    </row>
    <row r="389" ht="15.75" customHeight="1">
      <c r="A389" s="111"/>
      <c r="B389" s="111"/>
      <c r="C389" s="111"/>
      <c r="E389" s="111"/>
      <c r="G389" s="111"/>
    </row>
    <row r="390" ht="15.75" customHeight="1">
      <c r="A390" s="111"/>
      <c r="B390" s="111"/>
      <c r="C390" s="111"/>
      <c r="E390" s="111"/>
      <c r="G390" s="111"/>
    </row>
    <row r="391" ht="15.75" customHeight="1">
      <c r="A391" s="111"/>
      <c r="B391" s="111"/>
      <c r="C391" s="111"/>
      <c r="E391" s="111"/>
      <c r="G391" s="111"/>
    </row>
    <row r="392" ht="15.75" customHeight="1">
      <c r="A392" s="111"/>
      <c r="B392" s="111"/>
      <c r="C392" s="111"/>
      <c r="E392" s="111"/>
      <c r="G392" s="111"/>
    </row>
    <row r="393" ht="15.75" customHeight="1">
      <c r="A393" s="111"/>
      <c r="B393" s="111"/>
      <c r="C393" s="111"/>
      <c r="E393" s="111"/>
      <c r="G393" s="111"/>
    </row>
    <row r="394" ht="15.75" customHeight="1">
      <c r="A394" s="111"/>
      <c r="B394" s="111"/>
      <c r="C394" s="111"/>
      <c r="E394" s="111"/>
      <c r="G394" s="111"/>
    </row>
    <row r="395" ht="15.75" customHeight="1">
      <c r="A395" s="111"/>
      <c r="B395" s="111"/>
      <c r="C395" s="111"/>
      <c r="E395" s="111"/>
      <c r="G395" s="111"/>
    </row>
    <row r="396" ht="15.75" customHeight="1">
      <c r="A396" s="111"/>
      <c r="B396" s="111"/>
      <c r="C396" s="111"/>
      <c r="E396" s="111"/>
      <c r="G396" s="111"/>
    </row>
    <row r="397" ht="15.75" customHeight="1">
      <c r="A397" s="111"/>
      <c r="B397" s="111"/>
      <c r="C397" s="111"/>
      <c r="E397" s="111"/>
      <c r="G397" s="111"/>
    </row>
    <row r="398" ht="15.75" customHeight="1">
      <c r="A398" s="111"/>
      <c r="B398" s="111"/>
      <c r="C398" s="111"/>
      <c r="E398" s="111"/>
      <c r="G398" s="111"/>
    </row>
    <row r="399" ht="15.75" customHeight="1">
      <c r="A399" s="111"/>
      <c r="B399" s="111"/>
      <c r="C399" s="111"/>
      <c r="E399" s="111"/>
      <c r="G399" s="111"/>
    </row>
    <row r="400" ht="15.75" customHeight="1">
      <c r="A400" s="111"/>
      <c r="B400" s="111"/>
      <c r="C400" s="111"/>
      <c r="E400" s="111"/>
      <c r="G400" s="111"/>
    </row>
    <row r="401" ht="15.75" customHeight="1">
      <c r="A401" s="111"/>
      <c r="B401" s="111"/>
      <c r="C401" s="111"/>
      <c r="E401" s="111"/>
      <c r="G401" s="111"/>
    </row>
    <row r="402" ht="15.75" customHeight="1">
      <c r="A402" s="111"/>
      <c r="B402" s="111"/>
      <c r="C402" s="111"/>
      <c r="E402" s="111"/>
      <c r="G402" s="111"/>
    </row>
    <row r="403" ht="15.75" customHeight="1">
      <c r="A403" s="111"/>
      <c r="B403" s="111"/>
      <c r="C403" s="111"/>
      <c r="E403" s="111"/>
      <c r="G403" s="111"/>
    </row>
    <row r="404" ht="15.75" customHeight="1">
      <c r="A404" s="111"/>
      <c r="B404" s="111"/>
      <c r="C404" s="111"/>
      <c r="E404" s="111"/>
      <c r="G404" s="111"/>
    </row>
    <row r="405" ht="15.75" customHeight="1">
      <c r="A405" s="111"/>
      <c r="B405" s="111"/>
      <c r="C405" s="111"/>
      <c r="E405" s="111"/>
      <c r="G405" s="111"/>
    </row>
    <row r="406" ht="15.75" customHeight="1">
      <c r="A406" s="111"/>
      <c r="B406" s="111"/>
      <c r="C406" s="111"/>
      <c r="E406" s="111"/>
      <c r="G406" s="111"/>
    </row>
    <row r="407" ht="15.75" customHeight="1">
      <c r="A407" s="111"/>
      <c r="B407" s="111"/>
      <c r="C407" s="111"/>
      <c r="E407" s="111"/>
      <c r="G407" s="111"/>
    </row>
    <row r="408" ht="15.75" customHeight="1">
      <c r="A408" s="111"/>
      <c r="B408" s="111"/>
      <c r="C408" s="111"/>
      <c r="E408" s="111"/>
      <c r="G408" s="111"/>
    </row>
    <row r="409" ht="15.75" customHeight="1">
      <c r="A409" s="111"/>
      <c r="B409" s="111"/>
      <c r="C409" s="111"/>
      <c r="E409" s="111"/>
      <c r="G409" s="111"/>
    </row>
    <row r="410" ht="15.75" customHeight="1">
      <c r="A410" s="111"/>
      <c r="B410" s="111"/>
      <c r="C410" s="111"/>
      <c r="E410" s="111"/>
      <c r="G410" s="111"/>
    </row>
    <row r="411" ht="15.75" customHeight="1">
      <c r="A411" s="111"/>
      <c r="B411" s="111"/>
      <c r="C411" s="111"/>
      <c r="E411" s="111"/>
      <c r="G411" s="111"/>
    </row>
    <row r="412" ht="15.75" customHeight="1">
      <c r="A412" s="111"/>
      <c r="B412" s="111"/>
      <c r="C412" s="111"/>
      <c r="E412" s="111"/>
      <c r="G412" s="111"/>
    </row>
    <row r="413" ht="15.75" customHeight="1">
      <c r="A413" s="111"/>
      <c r="B413" s="111"/>
      <c r="C413" s="111"/>
      <c r="E413" s="111"/>
      <c r="G413" s="111"/>
    </row>
    <row r="414" ht="15.75" customHeight="1">
      <c r="A414" s="111"/>
      <c r="B414" s="111"/>
      <c r="C414" s="111"/>
      <c r="E414" s="111"/>
      <c r="G414" s="111"/>
    </row>
    <row r="415" ht="15.75" customHeight="1">
      <c r="A415" s="111"/>
      <c r="B415" s="111"/>
      <c r="C415" s="111"/>
      <c r="E415" s="111"/>
      <c r="G415" s="111"/>
    </row>
    <row r="416" ht="15.75" customHeight="1">
      <c r="A416" s="111"/>
      <c r="B416" s="111"/>
      <c r="C416" s="111"/>
      <c r="E416" s="111"/>
      <c r="G416" s="111"/>
    </row>
    <row r="417" ht="15.75" customHeight="1">
      <c r="A417" s="111"/>
      <c r="B417" s="111"/>
      <c r="C417" s="111"/>
      <c r="E417" s="111"/>
      <c r="G417" s="111"/>
    </row>
    <row r="418" ht="15.75" customHeight="1">
      <c r="A418" s="111"/>
      <c r="B418" s="111"/>
      <c r="C418" s="111"/>
      <c r="E418" s="111"/>
      <c r="G418" s="111"/>
    </row>
    <row r="419" ht="15.75" customHeight="1">
      <c r="A419" s="111"/>
      <c r="B419" s="111"/>
      <c r="C419" s="111"/>
      <c r="E419" s="111"/>
      <c r="G419" s="111"/>
    </row>
    <row r="420" ht="15.75" customHeight="1">
      <c r="A420" s="111"/>
      <c r="B420" s="111"/>
      <c r="C420" s="111"/>
      <c r="E420" s="111"/>
      <c r="G420" s="111"/>
    </row>
    <row r="421" ht="15.75" customHeight="1">
      <c r="A421" s="111"/>
      <c r="B421" s="111"/>
      <c r="C421" s="111"/>
      <c r="E421" s="111"/>
      <c r="G421" s="111"/>
    </row>
    <row r="422" ht="15.75" customHeight="1">
      <c r="A422" s="111"/>
      <c r="B422" s="111"/>
      <c r="C422" s="111"/>
      <c r="E422" s="111"/>
      <c r="G422" s="111"/>
    </row>
    <row r="423" ht="15.75" customHeight="1">
      <c r="A423" s="111"/>
      <c r="B423" s="111"/>
      <c r="C423" s="111"/>
      <c r="E423" s="111"/>
      <c r="G423" s="111"/>
    </row>
    <row r="424" ht="15.75" customHeight="1">
      <c r="A424" s="111"/>
      <c r="B424" s="111"/>
      <c r="C424" s="111"/>
      <c r="E424" s="111"/>
      <c r="G424" s="111"/>
    </row>
    <row r="425" ht="15.75" customHeight="1">
      <c r="A425" s="111"/>
      <c r="B425" s="111"/>
      <c r="C425" s="111"/>
      <c r="E425" s="111"/>
      <c r="G425" s="111"/>
    </row>
    <row r="426" ht="15.75" customHeight="1">
      <c r="A426" s="111"/>
      <c r="B426" s="111"/>
      <c r="C426" s="111"/>
      <c r="E426" s="111"/>
      <c r="G426" s="111"/>
    </row>
    <row r="427" ht="15.75" customHeight="1">
      <c r="A427" s="111"/>
      <c r="B427" s="111"/>
      <c r="C427" s="111"/>
      <c r="E427" s="111"/>
      <c r="G427" s="111"/>
    </row>
    <row r="428" ht="15.75" customHeight="1">
      <c r="A428" s="111"/>
      <c r="B428" s="111"/>
      <c r="C428" s="111"/>
      <c r="E428" s="111"/>
      <c r="G428" s="111"/>
    </row>
    <row r="429" ht="15.75" customHeight="1">
      <c r="A429" s="111"/>
      <c r="B429" s="111"/>
      <c r="C429" s="111"/>
      <c r="E429" s="111"/>
      <c r="G429" s="111"/>
    </row>
    <row r="430" ht="15.75" customHeight="1">
      <c r="A430" s="111"/>
      <c r="B430" s="111"/>
      <c r="C430" s="111"/>
      <c r="E430" s="111"/>
      <c r="G430" s="111"/>
    </row>
    <row r="431" ht="15.75" customHeight="1">
      <c r="A431" s="111"/>
      <c r="B431" s="111"/>
      <c r="C431" s="111"/>
      <c r="E431" s="111"/>
      <c r="G431" s="111"/>
    </row>
    <row r="432" ht="15.75" customHeight="1">
      <c r="A432" s="111"/>
      <c r="B432" s="111"/>
      <c r="C432" s="111"/>
      <c r="E432" s="111"/>
      <c r="G432" s="111"/>
    </row>
    <row r="433" ht="15.75" customHeight="1">
      <c r="A433" s="111"/>
      <c r="B433" s="111"/>
      <c r="C433" s="111"/>
      <c r="E433" s="111"/>
      <c r="G433" s="111"/>
    </row>
    <row r="434" ht="15.75" customHeight="1">
      <c r="A434" s="111"/>
      <c r="B434" s="111"/>
      <c r="C434" s="111"/>
      <c r="E434" s="111"/>
      <c r="G434" s="111"/>
    </row>
    <row r="435" ht="15.75" customHeight="1">
      <c r="A435" s="111"/>
      <c r="B435" s="111"/>
      <c r="C435" s="111"/>
      <c r="E435" s="111"/>
      <c r="G435" s="111"/>
    </row>
    <row r="436" ht="15.75" customHeight="1">
      <c r="A436" s="111"/>
      <c r="B436" s="111"/>
      <c r="C436" s="111"/>
      <c r="E436" s="111"/>
      <c r="G436" s="111"/>
    </row>
    <row r="437" ht="15.75" customHeight="1">
      <c r="A437" s="111"/>
      <c r="B437" s="111"/>
      <c r="C437" s="111"/>
      <c r="E437" s="111"/>
      <c r="G437" s="111"/>
    </row>
    <row r="438" ht="15.75" customHeight="1">
      <c r="A438" s="111"/>
      <c r="B438" s="111"/>
      <c r="C438" s="111"/>
      <c r="E438" s="111"/>
      <c r="G438" s="111"/>
    </row>
    <row r="439" ht="15.75" customHeight="1">
      <c r="A439" s="111"/>
      <c r="B439" s="111"/>
      <c r="C439" s="111"/>
      <c r="E439" s="111"/>
      <c r="G439" s="111"/>
    </row>
    <row r="440" ht="15.75" customHeight="1">
      <c r="A440" s="111"/>
      <c r="B440" s="111"/>
      <c r="C440" s="111"/>
      <c r="E440" s="111"/>
      <c r="G440" s="111"/>
    </row>
    <row r="441" ht="15.75" customHeight="1">
      <c r="A441" s="111"/>
      <c r="B441" s="111"/>
      <c r="C441" s="111"/>
      <c r="E441" s="111"/>
      <c r="G441" s="111"/>
    </row>
    <row r="442" ht="15.75" customHeight="1">
      <c r="A442" s="111"/>
      <c r="B442" s="111"/>
      <c r="C442" s="111"/>
      <c r="E442" s="111"/>
      <c r="G442" s="111"/>
    </row>
    <row r="443" ht="15.75" customHeight="1">
      <c r="A443" s="111"/>
      <c r="B443" s="111"/>
      <c r="C443" s="111"/>
      <c r="E443" s="111"/>
      <c r="G443" s="111"/>
    </row>
    <row r="444" ht="15.75" customHeight="1">
      <c r="A444" s="111"/>
      <c r="B444" s="111"/>
      <c r="C444" s="111"/>
      <c r="E444" s="111"/>
      <c r="G444" s="111"/>
    </row>
    <row r="445" ht="15.75" customHeight="1">
      <c r="A445" s="111"/>
      <c r="B445" s="111"/>
      <c r="C445" s="111"/>
      <c r="E445" s="111"/>
      <c r="G445" s="111"/>
    </row>
    <row r="446" ht="15.75" customHeight="1">
      <c r="A446" s="111"/>
      <c r="B446" s="111"/>
      <c r="C446" s="111"/>
      <c r="E446" s="111"/>
      <c r="G446" s="111"/>
    </row>
    <row r="447" ht="15.75" customHeight="1">
      <c r="A447" s="111"/>
      <c r="B447" s="111"/>
      <c r="C447" s="111"/>
      <c r="E447" s="111"/>
      <c r="G447" s="111"/>
    </row>
    <row r="448" ht="15.75" customHeight="1">
      <c r="A448" s="111"/>
      <c r="B448" s="111"/>
      <c r="C448" s="111"/>
      <c r="E448" s="111"/>
      <c r="G448" s="111"/>
    </row>
    <row r="449" ht="15.75" customHeight="1">
      <c r="A449" s="111"/>
      <c r="B449" s="111"/>
      <c r="C449" s="111"/>
      <c r="E449" s="111"/>
      <c r="G449" s="111"/>
    </row>
    <row r="450" ht="15.75" customHeight="1">
      <c r="A450" s="111"/>
      <c r="B450" s="111"/>
      <c r="C450" s="111"/>
      <c r="E450" s="111"/>
      <c r="G450" s="111"/>
    </row>
    <row r="451" ht="15.75" customHeight="1">
      <c r="A451" s="111"/>
      <c r="B451" s="111"/>
      <c r="C451" s="111"/>
      <c r="E451" s="111"/>
      <c r="G451" s="111"/>
    </row>
    <row r="452" ht="15.75" customHeight="1">
      <c r="A452" s="111"/>
      <c r="B452" s="111"/>
      <c r="C452" s="111"/>
      <c r="E452" s="111"/>
      <c r="G452" s="111"/>
    </row>
    <row r="453" ht="15.75" customHeight="1">
      <c r="A453" s="111"/>
      <c r="B453" s="111"/>
      <c r="C453" s="111"/>
      <c r="E453" s="111"/>
      <c r="G453" s="111"/>
    </row>
    <row r="454" ht="15.75" customHeight="1">
      <c r="A454" s="111"/>
      <c r="B454" s="111"/>
      <c r="C454" s="111"/>
      <c r="E454" s="111"/>
      <c r="G454" s="111"/>
    </row>
    <row r="455" ht="15.75" customHeight="1">
      <c r="A455" s="111"/>
      <c r="B455" s="111"/>
      <c r="C455" s="111"/>
      <c r="E455" s="111"/>
      <c r="G455" s="111"/>
    </row>
    <row r="456" ht="15.75" customHeight="1">
      <c r="A456" s="111"/>
      <c r="B456" s="111"/>
      <c r="C456" s="111"/>
      <c r="E456" s="111"/>
      <c r="G456" s="111"/>
    </row>
    <row r="457" ht="15.75" customHeight="1">
      <c r="A457" s="111"/>
      <c r="B457" s="111"/>
      <c r="C457" s="111"/>
      <c r="E457" s="111"/>
      <c r="G457" s="111"/>
    </row>
    <row r="458" ht="15.75" customHeight="1">
      <c r="A458" s="111"/>
      <c r="B458" s="111"/>
      <c r="C458" s="111"/>
      <c r="E458" s="111"/>
      <c r="G458" s="111"/>
    </row>
    <row r="459" ht="15.75" customHeight="1">
      <c r="A459" s="111"/>
      <c r="B459" s="111"/>
      <c r="C459" s="111"/>
      <c r="E459" s="111"/>
      <c r="G459" s="111"/>
    </row>
    <row r="460" ht="15.75" customHeight="1">
      <c r="A460" s="111"/>
      <c r="B460" s="111"/>
      <c r="C460" s="111"/>
      <c r="E460" s="111"/>
      <c r="G460" s="111"/>
    </row>
    <row r="461" ht="15.75" customHeight="1">
      <c r="A461" s="111"/>
      <c r="B461" s="111"/>
      <c r="C461" s="111"/>
      <c r="E461" s="111"/>
      <c r="G461" s="111"/>
    </row>
    <row r="462" ht="15.75" customHeight="1">
      <c r="A462" s="111"/>
      <c r="B462" s="111"/>
      <c r="C462" s="111"/>
      <c r="E462" s="111"/>
      <c r="G462" s="111"/>
    </row>
    <row r="463" ht="15.75" customHeight="1">
      <c r="A463" s="111"/>
      <c r="B463" s="111"/>
      <c r="C463" s="111"/>
      <c r="E463" s="111"/>
      <c r="G463" s="111"/>
    </row>
    <row r="464" ht="15.75" customHeight="1">
      <c r="A464" s="111"/>
      <c r="B464" s="111"/>
      <c r="C464" s="111"/>
      <c r="E464" s="111"/>
      <c r="G464" s="111"/>
    </row>
    <row r="465" ht="15.75" customHeight="1">
      <c r="A465" s="111"/>
      <c r="B465" s="111"/>
      <c r="C465" s="111"/>
      <c r="E465" s="111"/>
      <c r="G465" s="111"/>
    </row>
    <row r="466" ht="15.75" customHeight="1">
      <c r="A466" s="111"/>
      <c r="B466" s="111"/>
      <c r="C466" s="111"/>
      <c r="E466" s="111"/>
      <c r="G466" s="111"/>
    </row>
    <row r="467" ht="15.75" customHeight="1">
      <c r="A467" s="111"/>
      <c r="B467" s="111"/>
      <c r="C467" s="111"/>
      <c r="E467" s="111"/>
      <c r="G467" s="111"/>
    </row>
    <row r="468" ht="15.75" customHeight="1">
      <c r="A468" s="111"/>
      <c r="B468" s="111"/>
      <c r="C468" s="111"/>
      <c r="E468" s="111"/>
      <c r="G468" s="111"/>
    </row>
    <row r="469" ht="15.75" customHeight="1">
      <c r="A469" s="111"/>
      <c r="B469" s="111"/>
      <c r="C469" s="111"/>
      <c r="E469" s="111"/>
      <c r="G469" s="111"/>
    </row>
    <row r="470" ht="15.75" customHeight="1">
      <c r="A470" s="111"/>
      <c r="B470" s="111"/>
      <c r="C470" s="111"/>
      <c r="E470" s="111"/>
      <c r="G470" s="111"/>
    </row>
    <row r="471" ht="15.75" customHeight="1">
      <c r="A471" s="111"/>
      <c r="B471" s="111"/>
      <c r="C471" s="111"/>
      <c r="E471" s="111"/>
      <c r="G471" s="111"/>
    </row>
    <row r="472" ht="15.75" customHeight="1">
      <c r="A472" s="111"/>
      <c r="B472" s="111"/>
      <c r="C472" s="111"/>
      <c r="E472" s="111"/>
      <c r="G472" s="111"/>
    </row>
    <row r="473" ht="15.75" customHeight="1">
      <c r="A473" s="111"/>
      <c r="B473" s="111"/>
      <c r="C473" s="111"/>
      <c r="E473" s="111"/>
      <c r="G473" s="111"/>
    </row>
    <row r="474" ht="15.75" customHeight="1">
      <c r="A474" s="111"/>
      <c r="B474" s="111"/>
      <c r="C474" s="111"/>
      <c r="E474" s="111"/>
      <c r="G474" s="111"/>
    </row>
    <row r="475" ht="15.75" customHeight="1">
      <c r="A475" s="111"/>
      <c r="B475" s="111"/>
      <c r="C475" s="111"/>
      <c r="E475" s="111"/>
      <c r="G475" s="111"/>
    </row>
    <row r="476" ht="15.75" customHeight="1">
      <c r="A476" s="111"/>
      <c r="B476" s="111"/>
      <c r="C476" s="111"/>
      <c r="E476" s="111"/>
      <c r="G476" s="111"/>
    </row>
    <row r="477" ht="15.75" customHeight="1">
      <c r="A477" s="111"/>
      <c r="B477" s="111"/>
      <c r="C477" s="111"/>
      <c r="E477" s="111"/>
      <c r="G477" s="111"/>
    </row>
    <row r="478" ht="15.75" customHeight="1">
      <c r="A478" s="111"/>
      <c r="B478" s="111"/>
      <c r="C478" s="111"/>
      <c r="E478" s="111"/>
      <c r="G478" s="111"/>
    </row>
    <row r="479" ht="15.75" customHeight="1">
      <c r="A479" s="111"/>
      <c r="B479" s="111"/>
      <c r="C479" s="111"/>
      <c r="E479" s="111"/>
      <c r="G479" s="111"/>
    </row>
    <row r="480" ht="15.75" customHeight="1">
      <c r="A480" s="111"/>
      <c r="B480" s="111"/>
      <c r="C480" s="111"/>
      <c r="E480" s="111"/>
      <c r="G480" s="111"/>
    </row>
    <row r="481" ht="15.75" customHeight="1">
      <c r="A481" s="111"/>
      <c r="B481" s="111"/>
      <c r="C481" s="111"/>
      <c r="E481" s="111"/>
      <c r="G481" s="111"/>
    </row>
    <row r="482" ht="15.75" customHeight="1">
      <c r="A482" s="111"/>
      <c r="B482" s="111"/>
      <c r="C482" s="111"/>
      <c r="E482" s="111"/>
      <c r="G482" s="111"/>
    </row>
    <row r="483" ht="15.75" customHeight="1">
      <c r="A483" s="111"/>
      <c r="B483" s="111"/>
      <c r="C483" s="111"/>
      <c r="E483" s="111"/>
      <c r="G483" s="111"/>
    </row>
    <row r="484" ht="15.75" customHeight="1">
      <c r="A484" s="111"/>
      <c r="B484" s="111"/>
      <c r="C484" s="111"/>
      <c r="E484" s="111"/>
      <c r="G484" s="111"/>
    </row>
    <row r="485" ht="15.75" customHeight="1">
      <c r="A485" s="111"/>
      <c r="B485" s="111"/>
      <c r="C485" s="111"/>
      <c r="E485" s="111"/>
      <c r="G485" s="111"/>
    </row>
    <row r="486" ht="15.75" customHeight="1">
      <c r="A486" s="111"/>
      <c r="B486" s="111"/>
      <c r="C486" s="111"/>
      <c r="E486" s="111"/>
      <c r="G486" s="111"/>
    </row>
    <row r="487" ht="15.75" customHeight="1">
      <c r="A487" s="111"/>
      <c r="B487" s="111"/>
      <c r="C487" s="111"/>
      <c r="E487" s="111"/>
      <c r="G487" s="111"/>
    </row>
    <row r="488" ht="15.75" customHeight="1">
      <c r="A488" s="111"/>
      <c r="B488" s="111"/>
      <c r="C488" s="111"/>
      <c r="E488" s="111"/>
      <c r="G488" s="111"/>
    </row>
    <row r="489" ht="15.75" customHeight="1">
      <c r="A489" s="111"/>
      <c r="B489" s="111"/>
      <c r="C489" s="111"/>
      <c r="E489" s="111"/>
      <c r="G489" s="111"/>
    </row>
    <row r="490" ht="15.75" customHeight="1">
      <c r="A490" s="111"/>
      <c r="B490" s="111"/>
      <c r="C490" s="111"/>
      <c r="E490" s="111"/>
      <c r="G490" s="111"/>
    </row>
    <row r="491" ht="15.75" customHeight="1">
      <c r="A491" s="111"/>
      <c r="B491" s="111"/>
      <c r="C491" s="111"/>
      <c r="E491" s="111"/>
      <c r="G491" s="111"/>
    </row>
    <row r="492" ht="15.75" customHeight="1">
      <c r="A492" s="111"/>
      <c r="B492" s="111"/>
      <c r="C492" s="111"/>
      <c r="E492" s="111"/>
      <c r="G492" s="111"/>
    </row>
    <row r="493" ht="15.75" customHeight="1">
      <c r="A493" s="111"/>
      <c r="B493" s="111"/>
      <c r="C493" s="111"/>
      <c r="E493" s="111"/>
      <c r="G493" s="111"/>
    </row>
    <row r="494" ht="15.75" customHeight="1">
      <c r="A494" s="111"/>
      <c r="B494" s="111"/>
      <c r="C494" s="111"/>
      <c r="E494" s="111"/>
      <c r="G494" s="111"/>
    </row>
    <row r="495" ht="15.75" customHeight="1">
      <c r="A495" s="111"/>
      <c r="B495" s="111"/>
      <c r="C495" s="111"/>
      <c r="E495" s="111"/>
      <c r="G495" s="111"/>
    </row>
    <row r="496" ht="15.75" customHeight="1">
      <c r="A496" s="111"/>
      <c r="B496" s="111"/>
      <c r="C496" s="111"/>
      <c r="E496" s="111"/>
      <c r="G496" s="111"/>
    </row>
    <row r="497" ht="15.75" customHeight="1">
      <c r="A497" s="111"/>
      <c r="B497" s="111"/>
      <c r="C497" s="111"/>
      <c r="E497" s="111"/>
      <c r="G497" s="111"/>
    </row>
    <row r="498" ht="15.75" customHeight="1">
      <c r="A498" s="111"/>
      <c r="B498" s="111"/>
      <c r="C498" s="111"/>
      <c r="E498" s="111"/>
      <c r="G498" s="111"/>
    </row>
    <row r="499" ht="15.75" customHeight="1">
      <c r="A499" s="111"/>
      <c r="B499" s="111"/>
      <c r="C499" s="111"/>
      <c r="E499" s="111"/>
      <c r="G499" s="111"/>
    </row>
    <row r="500" ht="15.75" customHeight="1">
      <c r="A500" s="111"/>
      <c r="B500" s="111"/>
      <c r="C500" s="111"/>
      <c r="E500" s="111"/>
      <c r="G500" s="111"/>
    </row>
    <row r="501" ht="15.75" customHeight="1">
      <c r="A501" s="111"/>
      <c r="B501" s="111"/>
      <c r="C501" s="111"/>
      <c r="E501" s="111"/>
      <c r="G501" s="111"/>
    </row>
    <row r="502" ht="15.75" customHeight="1">
      <c r="A502" s="111"/>
      <c r="B502" s="111"/>
      <c r="C502" s="111"/>
      <c r="E502" s="111"/>
      <c r="G502" s="111"/>
    </row>
    <row r="503" ht="15.75" customHeight="1">
      <c r="A503" s="111"/>
      <c r="B503" s="111"/>
      <c r="C503" s="111"/>
      <c r="E503" s="111"/>
      <c r="G503" s="111"/>
    </row>
    <row r="504" ht="15.75" customHeight="1">
      <c r="A504" s="111"/>
      <c r="B504" s="111"/>
      <c r="C504" s="111"/>
      <c r="E504" s="111"/>
      <c r="G504" s="111"/>
    </row>
    <row r="505" ht="15.75" customHeight="1">
      <c r="A505" s="111"/>
      <c r="B505" s="111"/>
      <c r="C505" s="111"/>
      <c r="E505" s="111"/>
      <c r="G505" s="111"/>
    </row>
    <row r="506" ht="15.75" customHeight="1">
      <c r="A506" s="111"/>
      <c r="B506" s="111"/>
      <c r="C506" s="111"/>
      <c r="E506" s="111"/>
      <c r="G506" s="111"/>
    </row>
    <row r="507" ht="15.75" customHeight="1">
      <c r="A507" s="111"/>
      <c r="B507" s="111"/>
      <c r="C507" s="111"/>
      <c r="E507" s="111"/>
      <c r="G507" s="111"/>
    </row>
    <row r="508" ht="15.75" customHeight="1">
      <c r="A508" s="111"/>
      <c r="B508" s="111"/>
      <c r="C508" s="111"/>
      <c r="E508" s="111"/>
      <c r="G508" s="111"/>
    </row>
    <row r="509" ht="15.75" customHeight="1">
      <c r="A509" s="111"/>
      <c r="B509" s="111"/>
      <c r="C509" s="111"/>
      <c r="E509" s="111"/>
      <c r="G509" s="111"/>
    </row>
    <row r="510" ht="15.75" customHeight="1">
      <c r="A510" s="111"/>
      <c r="B510" s="111"/>
      <c r="C510" s="111"/>
      <c r="E510" s="111"/>
      <c r="G510" s="111"/>
    </row>
    <row r="511" ht="15.75" customHeight="1">
      <c r="A511" s="111"/>
      <c r="B511" s="111"/>
      <c r="C511" s="111"/>
      <c r="E511" s="111"/>
      <c r="G511" s="111"/>
    </row>
    <row r="512" ht="15.75" customHeight="1">
      <c r="A512" s="111"/>
      <c r="B512" s="111"/>
      <c r="C512" s="111"/>
      <c r="E512" s="111"/>
      <c r="G512" s="111"/>
    </row>
    <row r="513" ht="15.75" customHeight="1">
      <c r="A513" s="111"/>
      <c r="B513" s="111"/>
      <c r="C513" s="111"/>
      <c r="E513" s="111"/>
      <c r="G513" s="111"/>
    </row>
    <row r="514" ht="15.75" customHeight="1">
      <c r="A514" s="111"/>
      <c r="B514" s="111"/>
      <c r="C514" s="111"/>
      <c r="E514" s="111"/>
      <c r="G514" s="111"/>
    </row>
    <row r="515" ht="15.75" customHeight="1">
      <c r="A515" s="111"/>
      <c r="B515" s="111"/>
      <c r="C515" s="111"/>
      <c r="E515" s="111"/>
      <c r="G515" s="111"/>
    </row>
    <row r="516" ht="15.75" customHeight="1">
      <c r="A516" s="111"/>
      <c r="B516" s="111"/>
      <c r="C516" s="111"/>
      <c r="E516" s="111"/>
      <c r="G516" s="111"/>
    </row>
    <row r="517" ht="15.75" customHeight="1">
      <c r="A517" s="111"/>
      <c r="B517" s="111"/>
      <c r="C517" s="111"/>
      <c r="E517" s="111"/>
      <c r="G517" s="111"/>
    </row>
    <row r="518" ht="15.75" customHeight="1">
      <c r="A518" s="111"/>
      <c r="B518" s="111"/>
      <c r="C518" s="111"/>
      <c r="E518" s="111"/>
      <c r="G518" s="111"/>
    </row>
    <row r="519" ht="15.75" customHeight="1">
      <c r="A519" s="111"/>
      <c r="B519" s="111"/>
      <c r="C519" s="111"/>
      <c r="E519" s="111"/>
      <c r="G519" s="111"/>
    </row>
    <row r="520" ht="15.75" customHeight="1">
      <c r="A520" s="111"/>
      <c r="B520" s="111"/>
      <c r="C520" s="111"/>
      <c r="E520" s="111"/>
      <c r="G520" s="111"/>
    </row>
    <row r="521" ht="15.75" customHeight="1">
      <c r="A521" s="111"/>
      <c r="B521" s="111"/>
      <c r="C521" s="111"/>
      <c r="E521" s="111"/>
      <c r="G521" s="111"/>
    </row>
    <row r="522" ht="15.75" customHeight="1">
      <c r="A522" s="111"/>
      <c r="B522" s="111"/>
      <c r="C522" s="111"/>
      <c r="E522" s="111"/>
      <c r="G522" s="111"/>
    </row>
    <row r="523" ht="15.75" customHeight="1">
      <c r="A523" s="111"/>
      <c r="B523" s="111"/>
      <c r="C523" s="111"/>
      <c r="E523" s="111"/>
      <c r="G523" s="111"/>
    </row>
    <row r="524" ht="15.75" customHeight="1">
      <c r="A524" s="111"/>
      <c r="B524" s="111"/>
      <c r="C524" s="111"/>
      <c r="E524" s="111"/>
      <c r="G524" s="111"/>
    </row>
    <row r="525" ht="15.75" customHeight="1">
      <c r="A525" s="111"/>
      <c r="B525" s="111"/>
      <c r="C525" s="111"/>
      <c r="E525" s="111"/>
      <c r="G525" s="111"/>
    </row>
    <row r="526" ht="15.75" customHeight="1">
      <c r="A526" s="111"/>
      <c r="B526" s="111"/>
      <c r="C526" s="111"/>
      <c r="E526" s="111"/>
      <c r="G526" s="111"/>
    </row>
    <row r="527" ht="15.75" customHeight="1">
      <c r="A527" s="111"/>
      <c r="B527" s="111"/>
      <c r="C527" s="111"/>
      <c r="E527" s="111"/>
      <c r="G527" s="111"/>
    </row>
    <row r="528" ht="15.75" customHeight="1">
      <c r="A528" s="111"/>
      <c r="B528" s="111"/>
      <c r="C528" s="111"/>
      <c r="E528" s="111"/>
      <c r="G528" s="111"/>
    </row>
    <row r="529" ht="15.75" customHeight="1">
      <c r="A529" s="111"/>
      <c r="B529" s="111"/>
      <c r="C529" s="111"/>
      <c r="E529" s="111"/>
      <c r="G529" s="111"/>
    </row>
    <row r="530" ht="15.75" customHeight="1">
      <c r="A530" s="111"/>
      <c r="B530" s="111"/>
      <c r="C530" s="111"/>
      <c r="E530" s="111"/>
      <c r="G530" s="111"/>
    </row>
    <row r="531" ht="15.75" customHeight="1">
      <c r="A531" s="111"/>
      <c r="B531" s="111"/>
      <c r="C531" s="111"/>
      <c r="E531" s="111"/>
      <c r="G531" s="111"/>
    </row>
    <row r="532" ht="15.75" customHeight="1">
      <c r="A532" s="111"/>
      <c r="B532" s="111"/>
      <c r="C532" s="111"/>
      <c r="E532" s="111"/>
      <c r="G532" s="111"/>
    </row>
    <row r="533" ht="15.75" customHeight="1">
      <c r="A533" s="111"/>
      <c r="B533" s="111"/>
      <c r="C533" s="111"/>
      <c r="E533" s="111"/>
      <c r="G533" s="111"/>
    </row>
    <row r="534" ht="15.75" customHeight="1">
      <c r="A534" s="111"/>
      <c r="B534" s="111"/>
      <c r="C534" s="111"/>
      <c r="E534" s="111"/>
      <c r="G534" s="111"/>
    </row>
    <row r="535" ht="15.75" customHeight="1">
      <c r="A535" s="111"/>
      <c r="B535" s="111"/>
      <c r="C535" s="111"/>
      <c r="E535" s="111"/>
      <c r="G535" s="111"/>
    </row>
    <row r="536" ht="15.75" customHeight="1">
      <c r="A536" s="111"/>
      <c r="B536" s="111"/>
      <c r="C536" s="111"/>
      <c r="E536" s="111"/>
      <c r="G536" s="111"/>
    </row>
    <row r="537" ht="15.75" customHeight="1">
      <c r="A537" s="111"/>
      <c r="B537" s="111"/>
      <c r="C537" s="111"/>
      <c r="E537" s="111"/>
      <c r="G537" s="111"/>
    </row>
    <row r="538" ht="15.75" customHeight="1">
      <c r="A538" s="111"/>
      <c r="B538" s="111"/>
      <c r="C538" s="111"/>
      <c r="E538" s="111"/>
      <c r="G538" s="111"/>
    </row>
    <row r="539" ht="15.75" customHeight="1">
      <c r="A539" s="111"/>
      <c r="B539" s="111"/>
      <c r="C539" s="111"/>
      <c r="E539" s="111"/>
      <c r="G539" s="111"/>
    </row>
    <row r="540" ht="15.75" customHeight="1">
      <c r="A540" s="111"/>
      <c r="B540" s="111"/>
      <c r="C540" s="111"/>
      <c r="E540" s="111"/>
      <c r="G540" s="111"/>
    </row>
    <row r="541" ht="15.75" customHeight="1">
      <c r="A541" s="111"/>
      <c r="B541" s="111"/>
      <c r="C541" s="111"/>
      <c r="E541" s="111"/>
      <c r="G541" s="111"/>
    </row>
    <row r="542" ht="15.75" customHeight="1">
      <c r="A542" s="111"/>
      <c r="B542" s="111"/>
      <c r="C542" s="111"/>
      <c r="E542" s="111"/>
      <c r="G542" s="111"/>
    </row>
    <row r="543" ht="15.75" customHeight="1">
      <c r="A543" s="111"/>
      <c r="B543" s="111"/>
      <c r="C543" s="111"/>
      <c r="E543" s="111"/>
      <c r="G543" s="111"/>
    </row>
    <row r="544" ht="15.75" customHeight="1">
      <c r="A544" s="111"/>
      <c r="B544" s="111"/>
      <c r="C544" s="111"/>
      <c r="E544" s="111"/>
      <c r="G544" s="111"/>
    </row>
    <row r="545" ht="15.75" customHeight="1">
      <c r="A545" s="111"/>
      <c r="B545" s="111"/>
      <c r="C545" s="111"/>
      <c r="E545" s="111"/>
      <c r="G545" s="111"/>
    </row>
    <row r="546" ht="15.75" customHeight="1">
      <c r="A546" s="111"/>
      <c r="B546" s="111"/>
      <c r="C546" s="111"/>
      <c r="E546" s="111"/>
      <c r="G546" s="111"/>
    </row>
    <row r="547" ht="15.75" customHeight="1">
      <c r="A547" s="111"/>
      <c r="B547" s="111"/>
      <c r="C547" s="111"/>
      <c r="E547" s="111"/>
      <c r="G547" s="111"/>
    </row>
    <row r="548" ht="15.75" customHeight="1">
      <c r="A548" s="111"/>
      <c r="B548" s="111"/>
      <c r="C548" s="111"/>
      <c r="E548" s="111"/>
      <c r="G548" s="111"/>
    </row>
    <row r="549" ht="15.75" customHeight="1">
      <c r="A549" s="111"/>
      <c r="B549" s="111"/>
      <c r="C549" s="111"/>
      <c r="E549" s="111"/>
      <c r="G549" s="111"/>
    </row>
    <row r="550" ht="15.75" customHeight="1">
      <c r="A550" s="111"/>
      <c r="B550" s="111"/>
      <c r="C550" s="111"/>
      <c r="E550" s="111"/>
      <c r="G550" s="111"/>
    </row>
    <row r="551" ht="15.75" customHeight="1">
      <c r="A551" s="111"/>
      <c r="B551" s="111"/>
      <c r="C551" s="111"/>
      <c r="E551" s="111"/>
      <c r="G551" s="111"/>
    </row>
    <row r="552" ht="15.75" customHeight="1">
      <c r="A552" s="111"/>
      <c r="B552" s="111"/>
      <c r="C552" s="111"/>
      <c r="E552" s="111"/>
      <c r="G552" s="111"/>
    </row>
    <row r="553" ht="15.75" customHeight="1">
      <c r="A553" s="111"/>
      <c r="B553" s="111"/>
      <c r="C553" s="111"/>
      <c r="E553" s="111"/>
      <c r="G553" s="111"/>
    </row>
    <row r="554" ht="15.75" customHeight="1">
      <c r="A554" s="111"/>
      <c r="B554" s="111"/>
      <c r="C554" s="111"/>
      <c r="E554" s="111"/>
      <c r="G554" s="111"/>
    </row>
    <row r="555" ht="15.75" customHeight="1">
      <c r="A555" s="111"/>
      <c r="B555" s="111"/>
      <c r="C555" s="111"/>
      <c r="E555" s="111"/>
      <c r="G555" s="111"/>
    </row>
    <row r="556" ht="15.75" customHeight="1">
      <c r="A556" s="111"/>
      <c r="B556" s="111"/>
      <c r="C556" s="111"/>
      <c r="E556" s="111"/>
      <c r="G556" s="111"/>
    </row>
    <row r="557" ht="15.75" customHeight="1">
      <c r="A557" s="111"/>
      <c r="B557" s="111"/>
      <c r="C557" s="111"/>
      <c r="E557" s="111"/>
      <c r="G557" s="111"/>
    </row>
    <row r="558" ht="15.75" customHeight="1">
      <c r="A558" s="111"/>
      <c r="B558" s="111"/>
      <c r="C558" s="111"/>
      <c r="E558" s="111"/>
      <c r="G558" s="111"/>
    </row>
    <row r="559" ht="15.75" customHeight="1">
      <c r="A559" s="111"/>
      <c r="B559" s="111"/>
      <c r="C559" s="111"/>
      <c r="E559" s="111"/>
      <c r="G559" s="111"/>
    </row>
    <row r="560" ht="15.75" customHeight="1">
      <c r="A560" s="111"/>
      <c r="B560" s="111"/>
      <c r="C560" s="111"/>
      <c r="E560" s="111"/>
      <c r="G560" s="111"/>
    </row>
    <row r="561" ht="15.75" customHeight="1">
      <c r="A561" s="111"/>
      <c r="B561" s="111"/>
      <c r="C561" s="111"/>
      <c r="E561" s="111"/>
      <c r="G561" s="111"/>
    </row>
    <row r="562" ht="15.75" customHeight="1">
      <c r="A562" s="111"/>
      <c r="B562" s="111"/>
      <c r="C562" s="111"/>
      <c r="E562" s="111"/>
      <c r="G562" s="111"/>
    </row>
    <row r="563" ht="15.75" customHeight="1">
      <c r="A563" s="111"/>
      <c r="B563" s="111"/>
      <c r="C563" s="111"/>
      <c r="E563" s="111"/>
      <c r="G563" s="111"/>
    </row>
    <row r="564" ht="15.75" customHeight="1">
      <c r="A564" s="111"/>
      <c r="B564" s="111"/>
      <c r="C564" s="111"/>
      <c r="E564" s="111"/>
      <c r="G564" s="111"/>
    </row>
    <row r="565" ht="15.75" customHeight="1">
      <c r="A565" s="111"/>
      <c r="B565" s="111"/>
      <c r="C565" s="111"/>
      <c r="E565" s="111"/>
      <c r="G565" s="111"/>
    </row>
    <row r="566" ht="15.75" customHeight="1">
      <c r="A566" s="111"/>
      <c r="B566" s="111"/>
      <c r="C566" s="111"/>
      <c r="E566" s="111"/>
      <c r="G566" s="111"/>
    </row>
    <row r="567" ht="15.75" customHeight="1">
      <c r="A567" s="111"/>
      <c r="B567" s="111"/>
      <c r="C567" s="111"/>
      <c r="E567" s="111"/>
      <c r="G567" s="111"/>
    </row>
    <row r="568" ht="15.75" customHeight="1">
      <c r="A568" s="111"/>
      <c r="B568" s="111"/>
      <c r="C568" s="111"/>
      <c r="E568" s="111"/>
      <c r="G568" s="111"/>
    </row>
    <row r="569" ht="15.75" customHeight="1">
      <c r="A569" s="111"/>
      <c r="B569" s="111"/>
      <c r="C569" s="111"/>
      <c r="E569" s="111"/>
      <c r="G569" s="111"/>
    </row>
    <row r="570" ht="15.75" customHeight="1">
      <c r="A570" s="111"/>
      <c r="B570" s="111"/>
      <c r="C570" s="111"/>
      <c r="E570" s="111"/>
      <c r="G570" s="111"/>
    </row>
    <row r="571" ht="15.75" customHeight="1">
      <c r="A571" s="111"/>
      <c r="B571" s="111"/>
      <c r="C571" s="111"/>
      <c r="E571" s="111"/>
      <c r="G571" s="111"/>
    </row>
    <row r="572" ht="15.75" customHeight="1">
      <c r="A572" s="111"/>
      <c r="B572" s="111"/>
      <c r="C572" s="111"/>
      <c r="E572" s="111"/>
      <c r="G572" s="111"/>
    </row>
    <row r="573" ht="15.75" customHeight="1">
      <c r="A573" s="111"/>
      <c r="B573" s="111"/>
      <c r="C573" s="111"/>
      <c r="E573" s="111"/>
      <c r="G573" s="111"/>
    </row>
    <row r="574" ht="15.75" customHeight="1">
      <c r="A574" s="111"/>
      <c r="B574" s="111"/>
      <c r="C574" s="111"/>
      <c r="E574" s="111"/>
      <c r="G574" s="111"/>
    </row>
    <row r="575" ht="15.75" customHeight="1">
      <c r="A575" s="111"/>
      <c r="B575" s="111"/>
      <c r="C575" s="111"/>
      <c r="E575" s="111"/>
      <c r="G575" s="111"/>
    </row>
    <row r="576" ht="15.75" customHeight="1">
      <c r="A576" s="111"/>
      <c r="B576" s="111"/>
      <c r="C576" s="111"/>
      <c r="E576" s="111"/>
      <c r="G576" s="111"/>
    </row>
    <row r="577" ht="15.75" customHeight="1">
      <c r="A577" s="111"/>
      <c r="B577" s="111"/>
      <c r="C577" s="111"/>
      <c r="E577" s="111"/>
      <c r="G577" s="111"/>
    </row>
    <row r="578" ht="15.75" customHeight="1">
      <c r="A578" s="111"/>
      <c r="B578" s="111"/>
      <c r="C578" s="111"/>
      <c r="E578" s="111"/>
      <c r="G578" s="111"/>
    </row>
    <row r="579" ht="15.75" customHeight="1">
      <c r="A579" s="111"/>
      <c r="B579" s="111"/>
      <c r="C579" s="111"/>
      <c r="E579" s="111"/>
      <c r="G579" s="111"/>
    </row>
    <row r="580" ht="15.75" customHeight="1">
      <c r="A580" s="111"/>
      <c r="B580" s="111"/>
      <c r="C580" s="111"/>
      <c r="E580" s="111"/>
      <c r="G580" s="111"/>
    </row>
    <row r="581" ht="15.75" customHeight="1">
      <c r="A581" s="111"/>
      <c r="B581" s="111"/>
      <c r="C581" s="111"/>
      <c r="E581" s="111"/>
      <c r="G581" s="111"/>
    </row>
    <row r="582" ht="15.75" customHeight="1">
      <c r="A582" s="111"/>
      <c r="B582" s="111"/>
      <c r="C582" s="111"/>
      <c r="E582" s="111"/>
      <c r="G582" s="111"/>
    </row>
    <row r="583" ht="15.75" customHeight="1">
      <c r="A583" s="111"/>
      <c r="B583" s="111"/>
      <c r="C583" s="111"/>
      <c r="E583" s="111"/>
      <c r="G583" s="111"/>
    </row>
    <row r="584" ht="15.75" customHeight="1">
      <c r="A584" s="111"/>
      <c r="B584" s="111"/>
      <c r="C584" s="111"/>
      <c r="E584" s="111"/>
      <c r="G584" s="111"/>
    </row>
    <row r="585" ht="15.75" customHeight="1">
      <c r="A585" s="111"/>
      <c r="B585" s="111"/>
      <c r="C585" s="111"/>
      <c r="E585" s="111"/>
      <c r="G585" s="111"/>
    </row>
    <row r="586" ht="15.75" customHeight="1">
      <c r="A586" s="111"/>
      <c r="B586" s="111"/>
      <c r="C586" s="111"/>
      <c r="E586" s="111"/>
      <c r="G586" s="111"/>
    </row>
    <row r="587" ht="15.75" customHeight="1">
      <c r="A587" s="111"/>
      <c r="B587" s="111"/>
      <c r="C587" s="111"/>
      <c r="E587" s="111"/>
      <c r="G587" s="111"/>
    </row>
    <row r="588" ht="15.75" customHeight="1">
      <c r="A588" s="111"/>
      <c r="B588" s="111"/>
      <c r="C588" s="111"/>
      <c r="E588" s="111"/>
      <c r="G588" s="111"/>
    </row>
    <row r="589" ht="15.75" customHeight="1">
      <c r="A589" s="111"/>
      <c r="B589" s="111"/>
      <c r="C589" s="111"/>
      <c r="E589" s="111"/>
      <c r="G589" s="111"/>
    </row>
    <row r="590" ht="15.75" customHeight="1">
      <c r="A590" s="111"/>
      <c r="B590" s="111"/>
      <c r="C590" s="111"/>
      <c r="E590" s="111"/>
      <c r="G590" s="111"/>
    </row>
    <row r="591" ht="15.75" customHeight="1">
      <c r="A591" s="111"/>
      <c r="B591" s="111"/>
      <c r="C591" s="111"/>
      <c r="E591" s="111"/>
      <c r="G591" s="111"/>
    </row>
    <row r="592" ht="15.75" customHeight="1">
      <c r="A592" s="111"/>
      <c r="B592" s="111"/>
      <c r="C592" s="111"/>
      <c r="E592" s="111"/>
      <c r="G592" s="111"/>
    </row>
    <row r="593" ht="15.75" customHeight="1">
      <c r="A593" s="111"/>
      <c r="B593" s="111"/>
      <c r="C593" s="111"/>
      <c r="E593" s="111"/>
      <c r="G593" s="111"/>
    </row>
    <row r="594" ht="15.75" customHeight="1">
      <c r="A594" s="111"/>
      <c r="B594" s="111"/>
      <c r="C594" s="111"/>
      <c r="E594" s="111"/>
      <c r="G594" s="111"/>
    </row>
    <row r="595" ht="15.75" customHeight="1">
      <c r="A595" s="111"/>
      <c r="B595" s="111"/>
      <c r="C595" s="111"/>
      <c r="E595" s="111"/>
      <c r="G595" s="111"/>
    </row>
    <row r="596" ht="15.75" customHeight="1">
      <c r="A596" s="111"/>
      <c r="B596" s="111"/>
      <c r="C596" s="111"/>
      <c r="E596" s="111"/>
      <c r="G596" s="111"/>
    </row>
    <row r="597" ht="15.75" customHeight="1">
      <c r="A597" s="111"/>
      <c r="B597" s="111"/>
      <c r="C597" s="111"/>
      <c r="E597" s="111"/>
      <c r="G597" s="111"/>
    </row>
    <row r="598" ht="15.75" customHeight="1">
      <c r="A598" s="111"/>
      <c r="B598" s="111"/>
      <c r="C598" s="111"/>
      <c r="E598" s="111"/>
      <c r="G598" s="111"/>
    </row>
    <row r="599" ht="15.75" customHeight="1">
      <c r="A599" s="111"/>
      <c r="B599" s="111"/>
      <c r="C599" s="111"/>
      <c r="E599" s="111"/>
      <c r="G599" s="111"/>
    </row>
    <row r="600" ht="15.75" customHeight="1">
      <c r="A600" s="111"/>
      <c r="B600" s="111"/>
      <c r="C600" s="111"/>
      <c r="E600" s="111"/>
      <c r="G600" s="111"/>
    </row>
    <row r="601" ht="15.75" customHeight="1">
      <c r="A601" s="111"/>
      <c r="B601" s="111"/>
      <c r="C601" s="111"/>
      <c r="E601" s="111"/>
      <c r="G601" s="111"/>
    </row>
    <row r="602" ht="15.75" customHeight="1">
      <c r="A602" s="111"/>
      <c r="B602" s="111"/>
      <c r="C602" s="111"/>
      <c r="E602" s="111"/>
      <c r="G602" s="111"/>
    </row>
    <row r="603" ht="15.75" customHeight="1">
      <c r="A603" s="111"/>
      <c r="B603" s="111"/>
      <c r="C603" s="111"/>
      <c r="E603" s="111"/>
      <c r="G603" s="111"/>
    </row>
    <row r="604" ht="15.75" customHeight="1">
      <c r="A604" s="111"/>
      <c r="B604" s="111"/>
      <c r="C604" s="111"/>
      <c r="E604" s="111"/>
      <c r="G604" s="111"/>
    </row>
    <row r="605" ht="15.75" customHeight="1">
      <c r="A605" s="111"/>
      <c r="B605" s="111"/>
      <c r="C605" s="111"/>
      <c r="E605" s="111"/>
      <c r="G605" s="111"/>
    </row>
    <row r="606" ht="15.75" customHeight="1">
      <c r="A606" s="111"/>
      <c r="B606" s="111"/>
      <c r="C606" s="111"/>
      <c r="E606" s="111"/>
      <c r="G606" s="111"/>
    </row>
    <row r="607" ht="15.75" customHeight="1">
      <c r="A607" s="111"/>
      <c r="B607" s="111"/>
      <c r="C607" s="111"/>
      <c r="E607" s="111"/>
      <c r="G607" s="111"/>
    </row>
    <row r="608" ht="15.75" customHeight="1">
      <c r="A608" s="111"/>
      <c r="B608" s="111"/>
      <c r="C608" s="111"/>
      <c r="E608" s="111"/>
      <c r="G608" s="111"/>
    </row>
    <row r="609" ht="15.75" customHeight="1">
      <c r="A609" s="111"/>
      <c r="B609" s="111"/>
      <c r="C609" s="111"/>
      <c r="E609" s="111"/>
      <c r="G609" s="111"/>
    </row>
    <row r="610" ht="15.75" customHeight="1">
      <c r="A610" s="111"/>
      <c r="B610" s="111"/>
      <c r="C610" s="111"/>
      <c r="E610" s="111"/>
      <c r="G610" s="111"/>
    </row>
    <row r="611" ht="15.75" customHeight="1">
      <c r="A611" s="111"/>
      <c r="B611" s="111"/>
      <c r="C611" s="111"/>
      <c r="E611" s="111"/>
      <c r="G611" s="111"/>
    </row>
    <row r="612" ht="15.75" customHeight="1">
      <c r="A612" s="111"/>
      <c r="B612" s="111"/>
      <c r="C612" s="111"/>
      <c r="E612" s="111"/>
      <c r="G612" s="111"/>
    </row>
    <row r="613" ht="15.75" customHeight="1">
      <c r="A613" s="111"/>
      <c r="B613" s="111"/>
      <c r="C613" s="111"/>
      <c r="E613" s="111"/>
      <c r="G613" s="111"/>
    </row>
    <row r="614" ht="15.75" customHeight="1">
      <c r="A614" s="111"/>
      <c r="B614" s="111"/>
      <c r="C614" s="111"/>
      <c r="E614" s="111"/>
      <c r="G614" s="111"/>
    </row>
    <row r="615" ht="15.75" customHeight="1">
      <c r="A615" s="111"/>
      <c r="B615" s="111"/>
      <c r="C615" s="111"/>
      <c r="E615" s="111"/>
      <c r="G615" s="111"/>
    </row>
    <row r="616" ht="15.75" customHeight="1">
      <c r="A616" s="111"/>
      <c r="B616" s="111"/>
      <c r="C616" s="111"/>
      <c r="E616" s="111"/>
      <c r="G616" s="111"/>
    </row>
    <row r="617" ht="15.75" customHeight="1">
      <c r="A617" s="111"/>
      <c r="B617" s="111"/>
      <c r="C617" s="111"/>
      <c r="E617" s="111"/>
      <c r="G617" s="111"/>
    </row>
    <row r="618" ht="15.75" customHeight="1">
      <c r="A618" s="111"/>
      <c r="B618" s="111"/>
      <c r="C618" s="111"/>
      <c r="E618" s="111"/>
      <c r="G618" s="111"/>
    </row>
    <row r="619" ht="15.75" customHeight="1">
      <c r="A619" s="111"/>
      <c r="B619" s="111"/>
      <c r="C619" s="111"/>
      <c r="E619" s="111"/>
      <c r="G619" s="111"/>
    </row>
    <row r="620" ht="15.75" customHeight="1">
      <c r="A620" s="111"/>
      <c r="B620" s="111"/>
      <c r="C620" s="111"/>
      <c r="E620" s="111"/>
      <c r="G620" s="111"/>
    </row>
    <row r="621" ht="15.75" customHeight="1">
      <c r="A621" s="111"/>
      <c r="B621" s="111"/>
      <c r="C621" s="111"/>
      <c r="E621" s="111"/>
      <c r="G621" s="111"/>
    </row>
    <row r="622" ht="15.75" customHeight="1">
      <c r="A622" s="111"/>
      <c r="B622" s="111"/>
      <c r="C622" s="111"/>
      <c r="E622" s="111"/>
      <c r="G622" s="111"/>
    </row>
    <row r="623" ht="15.75" customHeight="1">
      <c r="A623" s="111"/>
      <c r="B623" s="111"/>
      <c r="C623" s="111"/>
      <c r="E623" s="111"/>
      <c r="G623" s="111"/>
    </row>
    <row r="624" ht="15.75" customHeight="1">
      <c r="A624" s="111"/>
      <c r="B624" s="111"/>
      <c r="C624" s="111"/>
      <c r="E624" s="111"/>
      <c r="G624" s="111"/>
    </row>
    <row r="625" ht="15.75" customHeight="1">
      <c r="A625" s="111"/>
      <c r="B625" s="111"/>
      <c r="C625" s="111"/>
      <c r="E625" s="111"/>
      <c r="G625" s="111"/>
    </row>
    <row r="626" ht="15.75" customHeight="1">
      <c r="A626" s="111"/>
      <c r="B626" s="111"/>
      <c r="C626" s="111"/>
      <c r="E626" s="111"/>
      <c r="G626" s="111"/>
    </row>
    <row r="627" ht="15.75" customHeight="1">
      <c r="A627" s="111"/>
      <c r="B627" s="111"/>
      <c r="C627" s="111"/>
      <c r="E627" s="111"/>
      <c r="G627" s="111"/>
    </row>
    <row r="628" ht="15.75" customHeight="1">
      <c r="A628" s="111"/>
      <c r="B628" s="111"/>
      <c r="C628" s="111"/>
      <c r="E628" s="111"/>
      <c r="G628" s="111"/>
    </row>
    <row r="629" ht="15.75" customHeight="1">
      <c r="A629" s="111"/>
      <c r="B629" s="111"/>
      <c r="C629" s="111"/>
      <c r="E629" s="111"/>
      <c r="G629" s="111"/>
    </row>
    <row r="630" ht="15.75" customHeight="1">
      <c r="A630" s="111"/>
      <c r="B630" s="111"/>
      <c r="C630" s="111"/>
      <c r="E630" s="111"/>
      <c r="G630" s="111"/>
    </row>
    <row r="631" ht="15.75" customHeight="1">
      <c r="A631" s="111"/>
      <c r="B631" s="111"/>
      <c r="C631" s="111"/>
      <c r="E631" s="111"/>
      <c r="G631" s="111"/>
    </row>
    <row r="632" ht="15.75" customHeight="1">
      <c r="A632" s="111"/>
      <c r="B632" s="111"/>
      <c r="C632" s="111"/>
      <c r="E632" s="111"/>
      <c r="G632" s="111"/>
    </row>
    <row r="633" ht="15.75" customHeight="1">
      <c r="A633" s="111"/>
      <c r="B633" s="111"/>
      <c r="C633" s="111"/>
      <c r="E633" s="111"/>
      <c r="G633" s="111"/>
    </row>
    <row r="634" ht="15.75" customHeight="1">
      <c r="A634" s="111"/>
      <c r="B634" s="111"/>
      <c r="C634" s="111"/>
      <c r="E634" s="111"/>
      <c r="G634" s="111"/>
    </row>
    <row r="635" ht="15.75" customHeight="1">
      <c r="A635" s="111"/>
      <c r="B635" s="111"/>
      <c r="C635" s="111"/>
      <c r="E635" s="111"/>
      <c r="G635" s="111"/>
    </row>
    <row r="636" ht="15.75" customHeight="1">
      <c r="A636" s="111"/>
      <c r="B636" s="111"/>
      <c r="C636" s="111"/>
      <c r="E636" s="111"/>
      <c r="G636" s="111"/>
    </row>
    <row r="637" ht="15.75" customHeight="1">
      <c r="A637" s="111"/>
      <c r="B637" s="111"/>
      <c r="C637" s="111"/>
      <c r="E637" s="111"/>
      <c r="G637" s="111"/>
    </row>
    <row r="638" ht="15.75" customHeight="1">
      <c r="A638" s="111"/>
      <c r="B638" s="111"/>
      <c r="C638" s="111"/>
      <c r="E638" s="111"/>
      <c r="G638" s="111"/>
    </row>
    <row r="639" ht="15.75" customHeight="1">
      <c r="A639" s="111"/>
      <c r="B639" s="111"/>
      <c r="C639" s="111"/>
      <c r="E639" s="111"/>
      <c r="G639" s="111"/>
    </row>
    <row r="640" ht="15.75" customHeight="1">
      <c r="A640" s="111"/>
      <c r="B640" s="111"/>
      <c r="C640" s="111"/>
      <c r="E640" s="111"/>
      <c r="G640" s="111"/>
    </row>
    <row r="641" ht="15.75" customHeight="1">
      <c r="A641" s="111"/>
      <c r="B641" s="111"/>
      <c r="C641" s="111"/>
      <c r="E641" s="111"/>
      <c r="G641" s="111"/>
    </row>
    <row r="642" ht="15.75" customHeight="1">
      <c r="A642" s="111"/>
      <c r="B642" s="111"/>
      <c r="C642" s="111"/>
      <c r="E642" s="111"/>
      <c r="G642" s="111"/>
    </row>
    <row r="643" ht="15.75" customHeight="1">
      <c r="A643" s="111"/>
      <c r="B643" s="111"/>
      <c r="C643" s="111"/>
      <c r="E643" s="111"/>
      <c r="G643" s="111"/>
    </row>
    <row r="644" ht="15.75" customHeight="1">
      <c r="A644" s="111"/>
      <c r="B644" s="111"/>
      <c r="C644" s="111"/>
      <c r="E644" s="111"/>
      <c r="G644" s="111"/>
    </row>
    <row r="645" ht="15.75" customHeight="1">
      <c r="A645" s="111"/>
      <c r="B645" s="111"/>
      <c r="C645" s="111"/>
      <c r="E645" s="111"/>
      <c r="G645" s="111"/>
    </row>
    <row r="646" ht="15.75" customHeight="1">
      <c r="A646" s="111"/>
      <c r="B646" s="111"/>
      <c r="C646" s="111"/>
      <c r="E646" s="111"/>
      <c r="G646" s="111"/>
    </row>
    <row r="647" ht="15.75" customHeight="1">
      <c r="A647" s="111"/>
      <c r="B647" s="111"/>
      <c r="C647" s="111"/>
      <c r="E647" s="111"/>
      <c r="G647" s="111"/>
    </row>
    <row r="648" ht="15.75" customHeight="1">
      <c r="A648" s="111"/>
      <c r="B648" s="111"/>
      <c r="C648" s="111"/>
      <c r="E648" s="111"/>
      <c r="G648" s="111"/>
    </row>
    <row r="649" ht="15.75" customHeight="1">
      <c r="A649" s="111"/>
      <c r="B649" s="111"/>
      <c r="C649" s="111"/>
      <c r="E649" s="111"/>
      <c r="G649" s="111"/>
    </row>
    <row r="650" ht="15.75" customHeight="1">
      <c r="A650" s="111"/>
      <c r="B650" s="111"/>
      <c r="C650" s="111"/>
      <c r="E650" s="111"/>
      <c r="G650" s="111"/>
    </row>
    <row r="651" ht="15.75" customHeight="1">
      <c r="A651" s="111"/>
      <c r="B651" s="111"/>
      <c r="C651" s="111"/>
      <c r="E651" s="111"/>
      <c r="G651" s="111"/>
    </row>
    <row r="652" ht="15.75" customHeight="1">
      <c r="A652" s="111"/>
      <c r="B652" s="111"/>
      <c r="C652" s="111"/>
      <c r="E652" s="111"/>
      <c r="G652" s="111"/>
    </row>
    <row r="653" ht="15.75" customHeight="1">
      <c r="A653" s="111"/>
      <c r="B653" s="111"/>
      <c r="C653" s="111"/>
      <c r="E653" s="111"/>
      <c r="G653" s="111"/>
    </row>
    <row r="654" ht="15.75" customHeight="1">
      <c r="A654" s="111"/>
      <c r="B654" s="111"/>
      <c r="C654" s="111"/>
      <c r="E654" s="111"/>
      <c r="G654" s="111"/>
    </row>
    <row r="655" ht="15.75" customHeight="1">
      <c r="A655" s="111"/>
      <c r="B655" s="111"/>
      <c r="C655" s="111"/>
      <c r="E655" s="111"/>
      <c r="G655" s="111"/>
    </row>
    <row r="656" ht="15.75" customHeight="1">
      <c r="A656" s="111"/>
      <c r="B656" s="111"/>
      <c r="C656" s="111"/>
      <c r="E656" s="111"/>
      <c r="G656" s="111"/>
    </row>
    <row r="657" ht="15.75" customHeight="1">
      <c r="A657" s="111"/>
      <c r="B657" s="111"/>
      <c r="C657" s="111"/>
      <c r="E657" s="111"/>
      <c r="G657" s="111"/>
    </row>
    <row r="658" ht="15.75" customHeight="1">
      <c r="A658" s="111"/>
      <c r="B658" s="111"/>
      <c r="C658" s="111"/>
      <c r="E658" s="111"/>
      <c r="G658" s="111"/>
    </row>
    <row r="659" ht="15.75" customHeight="1">
      <c r="A659" s="111"/>
      <c r="B659" s="111"/>
      <c r="C659" s="111"/>
      <c r="E659" s="111"/>
      <c r="G659" s="111"/>
    </row>
    <row r="660" ht="15.75" customHeight="1">
      <c r="A660" s="111"/>
      <c r="B660" s="111"/>
      <c r="C660" s="111"/>
      <c r="E660" s="111"/>
      <c r="G660" s="111"/>
    </row>
    <row r="661" ht="15.75" customHeight="1">
      <c r="A661" s="111"/>
      <c r="B661" s="111"/>
      <c r="C661" s="111"/>
      <c r="E661" s="111"/>
      <c r="G661" s="111"/>
    </row>
    <row r="662" ht="15.75" customHeight="1">
      <c r="A662" s="111"/>
      <c r="B662" s="111"/>
      <c r="C662" s="111"/>
      <c r="E662" s="111"/>
      <c r="G662" s="111"/>
    </row>
    <row r="663" ht="15.75" customHeight="1">
      <c r="A663" s="111"/>
      <c r="B663" s="111"/>
      <c r="C663" s="111"/>
      <c r="E663" s="111"/>
      <c r="G663" s="111"/>
    </row>
    <row r="664" ht="15.75" customHeight="1">
      <c r="A664" s="111"/>
      <c r="B664" s="111"/>
      <c r="C664" s="111"/>
      <c r="E664" s="111"/>
      <c r="G664" s="111"/>
    </row>
    <row r="665" ht="15.75" customHeight="1">
      <c r="A665" s="111"/>
      <c r="B665" s="111"/>
      <c r="C665" s="111"/>
      <c r="E665" s="111"/>
      <c r="G665" s="111"/>
    </row>
    <row r="666" ht="15.75" customHeight="1">
      <c r="A666" s="111"/>
      <c r="B666" s="111"/>
      <c r="C666" s="111"/>
      <c r="E666" s="111"/>
      <c r="G666" s="111"/>
    </row>
    <row r="667" ht="15.75" customHeight="1">
      <c r="A667" s="111"/>
      <c r="B667" s="111"/>
      <c r="C667" s="111"/>
      <c r="E667" s="111"/>
      <c r="G667" s="111"/>
    </row>
    <row r="668" ht="15.75" customHeight="1">
      <c r="A668" s="111"/>
      <c r="B668" s="111"/>
      <c r="C668" s="111"/>
      <c r="E668" s="111"/>
      <c r="G668" s="111"/>
    </row>
    <row r="669" ht="15.75" customHeight="1">
      <c r="A669" s="111"/>
      <c r="B669" s="111"/>
      <c r="C669" s="111"/>
      <c r="E669" s="111"/>
      <c r="G669" s="111"/>
    </row>
    <row r="670" ht="15.75" customHeight="1">
      <c r="A670" s="111"/>
      <c r="B670" s="111"/>
      <c r="C670" s="111"/>
      <c r="E670" s="111"/>
      <c r="G670" s="111"/>
    </row>
    <row r="671" ht="15.75" customHeight="1">
      <c r="A671" s="111"/>
      <c r="B671" s="111"/>
      <c r="C671" s="111"/>
      <c r="E671" s="111"/>
      <c r="G671" s="111"/>
    </row>
    <row r="672" ht="15.75" customHeight="1">
      <c r="A672" s="111"/>
      <c r="B672" s="111"/>
      <c r="C672" s="111"/>
      <c r="E672" s="111"/>
      <c r="G672" s="111"/>
    </row>
    <row r="673" ht="15.75" customHeight="1">
      <c r="A673" s="111"/>
      <c r="B673" s="111"/>
      <c r="C673" s="111"/>
      <c r="E673" s="111"/>
      <c r="G673" s="111"/>
    </row>
    <row r="674" ht="15.75" customHeight="1">
      <c r="A674" s="111"/>
      <c r="B674" s="111"/>
      <c r="C674" s="111"/>
      <c r="E674" s="111"/>
      <c r="G674" s="111"/>
    </row>
    <row r="675" ht="15.75" customHeight="1">
      <c r="A675" s="111"/>
      <c r="B675" s="111"/>
      <c r="C675" s="111"/>
      <c r="E675" s="111"/>
      <c r="G675" s="111"/>
    </row>
    <row r="676" ht="15.75" customHeight="1">
      <c r="A676" s="111"/>
      <c r="B676" s="111"/>
      <c r="C676" s="111"/>
      <c r="E676" s="111"/>
      <c r="G676" s="111"/>
    </row>
    <row r="677" ht="15.75" customHeight="1">
      <c r="A677" s="111"/>
      <c r="B677" s="111"/>
      <c r="C677" s="111"/>
      <c r="E677" s="111"/>
      <c r="G677" s="111"/>
    </row>
    <row r="678" ht="15.75" customHeight="1">
      <c r="A678" s="111"/>
      <c r="B678" s="111"/>
      <c r="C678" s="111"/>
      <c r="E678" s="111"/>
      <c r="G678" s="111"/>
    </row>
    <row r="679" ht="15.75" customHeight="1">
      <c r="A679" s="111"/>
      <c r="B679" s="111"/>
      <c r="C679" s="111"/>
      <c r="E679" s="111"/>
      <c r="G679" s="111"/>
    </row>
    <row r="680" ht="15.75" customHeight="1">
      <c r="A680" s="111"/>
      <c r="B680" s="111"/>
      <c r="C680" s="111"/>
      <c r="E680" s="111"/>
      <c r="G680" s="111"/>
    </row>
    <row r="681" ht="15.75" customHeight="1">
      <c r="A681" s="111"/>
      <c r="B681" s="111"/>
      <c r="C681" s="111"/>
      <c r="E681" s="111"/>
      <c r="G681" s="111"/>
    </row>
    <row r="682" ht="15.75" customHeight="1">
      <c r="A682" s="111"/>
      <c r="B682" s="111"/>
      <c r="C682" s="111"/>
      <c r="E682" s="111"/>
      <c r="G682" s="111"/>
    </row>
    <row r="683" ht="15.75" customHeight="1">
      <c r="A683" s="111"/>
      <c r="B683" s="111"/>
      <c r="C683" s="111"/>
      <c r="E683" s="111"/>
      <c r="G683" s="111"/>
    </row>
    <row r="684" ht="15.75" customHeight="1">
      <c r="A684" s="111"/>
      <c r="B684" s="111"/>
      <c r="C684" s="111"/>
      <c r="E684" s="111"/>
      <c r="G684" s="111"/>
    </row>
    <row r="685" ht="15.75" customHeight="1">
      <c r="A685" s="111"/>
      <c r="B685" s="111"/>
      <c r="C685" s="111"/>
      <c r="E685" s="111"/>
      <c r="G685" s="111"/>
    </row>
    <row r="686" ht="15.75" customHeight="1">
      <c r="A686" s="111"/>
      <c r="B686" s="111"/>
      <c r="C686" s="111"/>
      <c r="E686" s="111"/>
      <c r="G686" s="111"/>
    </row>
    <row r="687" ht="15.75" customHeight="1">
      <c r="A687" s="111"/>
      <c r="B687" s="111"/>
      <c r="C687" s="111"/>
      <c r="E687" s="111"/>
      <c r="G687" s="111"/>
    </row>
    <row r="688" ht="15.75" customHeight="1">
      <c r="A688" s="111"/>
      <c r="B688" s="111"/>
      <c r="C688" s="111"/>
      <c r="E688" s="111"/>
      <c r="G688" s="111"/>
    </row>
    <row r="689" ht="15.75" customHeight="1">
      <c r="A689" s="111"/>
      <c r="B689" s="111"/>
      <c r="C689" s="111"/>
      <c r="E689" s="111"/>
      <c r="G689" s="111"/>
    </row>
    <row r="690" ht="15.75" customHeight="1">
      <c r="A690" s="111"/>
      <c r="B690" s="111"/>
      <c r="C690" s="111"/>
      <c r="E690" s="111"/>
      <c r="G690" s="111"/>
    </row>
    <row r="691" ht="15.75" customHeight="1">
      <c r="A691" s="111"/>
      <c r="B691" s="111"/>
      <c r="C691" s="111"/>
      <c r="E691" s="111"/>
      <c r="G691" s="111"/>
    </row>
    <row r="692" ht="15.75" customHeight="1">
      <c r="A692" s="111"/>
      <c r="B692" s="111"/>
      <c r="C692" s="111"/>
      <c r="E692" s="111"/>
      <c r="G692" s="111"/>
    </row>
    <row r="693" ht="15.75" customHeight="1">
      <c r="A693" s="111"/>
      <c r="B693" s="111"/>
      <c r="C693" s="111"/>
      <c r="E693" s="111"/>
      <c r="G693" s="111"/>
    </row>
    <row r="694" ht="15.75" customHeight="1">
      <c r="A694" s="111"/>
      <c r="B694" s="111"/>
      <c r="C694" s="111"/>
      <c r="E694" s="111"/>
      <c r="G694" s="111"/>
    </row>
    <row r="695" ht="15.75" customHeight="1">
      <c r="A695" s="111"/>
      <c r="B695" s="111"/>
      <c r="C695" s="111"/>
      <c r="E695" s="111"/>
      <c r="G695" s="111"/>
    </row>
    <row r="696" ht="15.75" customHeight="1">
      <c r="A696" s="111"/>
      <c r="B696" s="111"/>
      <c r="C696" s="111"/>
      <c r="E696" s="111"/>
      <c r="G696" s="111"/>
    </row>
    <row r="697" ht="15.75" customHeight="1">
      <c r="A697" s="111"/>
      <c r="B697" s="111"/>
      <c r="C697" s="111"/>
      <c r="E697" s="111"/>
      <c r="G697" s="111"/>
    </row>
    <row r="698" ht="15.75" customHeight="1">
      <c r="A698" s="111"/>
      <c r="B698" s="111"/>
      <c r="C698" s="111"/>
      <c r="E698" s="111"/>
      <c r="G698" s="111"/>
    </row>
    <row r="699" ht="15.75" customHeight="1">
      <c r="A699" s="111"/>
      <c r="B699" s="111"/>
      <c r="C699" s="111"/>
      <c r="E699" s="111"/>
      <c r="G699" s="111"/>
    </row>
    <row r="700" ht="15.75" customHeight="1">
      <c r="A700" s="111"/>
      <c r="B700" s="111"/>
      <c r="C700" s="111"/>
      <c r="E700" s="111"/>
      <c r="G700" s="111"/>
    </row>
    <row r="701" ht="15.75" customHeight="1">
      <c r="A701" s="111"/>
      <c r="B701" s="111"/>
      <c r="C701" s="111"/>
      <c r="E701" s="111"/>
      <c r="G701" s="111"/>
    </row>
    <row r="702" ht="15.75" customHeight="1">
      <c r="A702" s="111"/>
      <c r="B702" s="111"/>
      <c r="C702" s="111"/>
      <c r="E702" s="111"/>
      <c r="G702" s="111"/>
    </row>
    <row r="703" ht="15.75" customHeight="1">
      <c r="A703" s="111"/>
      <c r="B703" s="111"/>
      <c r="C703" s="111"/>
      <c r="E703" s="111"/>
      <c r="G703" s="111"/>
    </row>
    <row r="704" ht="15.75" customHeight="1">
      <c r="A704" s="111"/>
      <c r="B704" s="111"/>
      <c r="C704" s="111"/>
      <c r="E704" s="111"/>
      <c r="G704" s="111"/>
    </row>
    <row r="705" ht="15.75" customHeight="1">
      <c r="A705" s="111"/>
      <c r="B705" s="111"/>
      <c r="C705" s="111"/>
      <c r="E705" s="111"/>
      <c r="G705" s="111"/>
    </row>
    <row r="706" ht="15.75" customHeight="1">
      <c r="A706" s="111"/>
      <c r="B706" s="111"/>
      <c r="C706" s="111"/>
      <c r="E706" s="111"/>
      <c r="G706" s="111"/>
    </row>
    <row r="707" ht="15.75" customHeight="1">
      <c r="A707" s="111"/>
      <c r="B707" s="111"/>
      <c r="C707" s="111"/>
      <c r="E707" s="111"/>
      <c r="G707" s="111"/>
    </row>
    <row r="708" ht="15.75" customHeight="1">
      <c r="A708" s="111"/>
      <c r="B708" s="111"/>
      <c r="C708" s="111"/>
      <c r="E708" s="111"/>
      <c r="G708" s="111"/>
    </row>
    <row r="709" ht="15.75" customHeight="1">
      <c r="A709" s="111"/>
      <c r="B709" s="111"/>
      <c r="C709" s="111"/>
      <c r="E709" s="111"/>
      <c r="G709" s="111"/>
    </row>
    <row r="710" ht="15.75" customHeight="1">
      <c r="A710" s="111"/>
      <c r="B710" s="111"/>
      <c r="C710" s="111"/>
      <c r="E710" s="111"/>
      <c r="G710" s="111"/>
    </row>
    <row r="711" ht="15.75" customHeight="1">
      <c r="A711" s="111"/>
      <c r="B711" s="111"/>
      <c r="C711" s="111"/>
      <c r="E711" s="111"/>
      <c r="G711" s="111"/>
    </row>
    <row r="712" ht="15.75" customHeight="1">
      <c r="A712" s="111"/>
      <c r="B712" s="111"/>
      <c r="C712" s="111"/>
      <c r="E712" s="111"/>
      <c r="G712" s="111"/>
    </row>
    <row r="713" ht="15.75" customHeight="1">
      <c r="A713" s="111"/>
      <c r="B713" s="111"/>
      <c r="C713" s="111"/>
      <c r="E713" s="111"/>
      <c r="G713" s="111"/>
    </row>
    <row r="714" ht="15.75" customHeight="1">
      <c r="A714" s="111"/>
      <c r="B714" s="111"/>
      <c r="C714" s="111"/>
      <c r="E714" s="111"/>
      <c r="G714" s="111"/>
    </row>
    <row r="715" ht="15.75" customHeight="1">
      <c r="A715" s="111"/>
      <c r="B715" s="111"/>
      <c r="C715" s="111"/>
      <c r="E715" s="111"/>
      <c r="G715" s="111"/>
    </row>
    <row r="716" ht="15.75" customHeight="1">
      <c r="A716" s="111"/>
      <c r="B716" s="111"/>
      <c r="C716" s="111"/>
      <c r="E716" s="111"/>
      <c r="G716" s="111"/>
    </row>
    <row r="717" ht="15.75" customHeight="1">
      <c r="A717" s="111"/>
      <c r="B717" s="111"/>
      <c r="C717" s="111"/>
      <c r="E717" s="111"/>
      <c r="G717" s="111"/>
    </row>
    <row r="718" ht="15.75" customHeight="1">
      <c r="A718" s="111"/>
      <c r="B718" s="111"/>
      <c r="C718" s="111"/>
      <c r="E718" s="111"/>
      <c r="G718" s="111"/>
    </row>
    <row r="719" ht="15.75" customHeight="1">
      <c r="A719" s="111"/>
      <c r="B719" s="111"/>
      <c r="C719" s="111"/>
      <c r="E719" s="111"/>
      <c r="G719" s="111"/>
    </row>
    <row r="720" ht="15.75" customHeight="1">
      <c r="A720" s="111"/>
      <c r="B720" s="111"/>
      <c r="C720" s="111"/>
      <c r="E720" s="111"/>
      <c r="G720" s="111"/>
    </row>
    <row r="721" ht="15.75" customHeight="1">
      <c r="A721" s="111"/>
      <c r="B721" s="111"/>
      <c r="C721" s="111"/>
      <c r="E721" s="111"/>
      <c r="G721" s="111"/>
    </row>
    <row r="722" ht="15.75" customHeight="1">
      <c r="A722" s="111"/>
      <c r="B722" s="111"/>
      <c r="C722" s="111"/>
      <c r="E722" s="111"/>
      <c r="G722" s="111"/>
    </row>
    <row r="723" ht="15.75" customHeight="1">
      <c r="A723" s="111"/>
      <c r="B723" s="111"/>
      <c r="C723" s="111"/>
      <c r="E723" s="111"/>
      <c r="G723" s="111"/>
    </row>
    <row r="724" ht="15.75" customHeight="1">
      <c r="A724" s="111"/>
      <c r="B724" s="111"/>
      <c r="C724" s="111"/>
      <c r="E724" s="111"/>
      <c r="G724" s="111"/>
    </row>
    <row r="725" ht="15.75" customHeight="1">
      <c r="A725" s="111"/>
      <c r="B725" s="111"/>
      <c r="C725" s="111"/>
      <c r="E725" s="111"/>
      <c r="G725" s="111"/>
    </row>
    <row r="726" ht="15.75" customHeight="1">
      <c r="A726" s="111"/>
      <c r="B726" s="111"/>
      <c r="C726" s="111"/>
      <c r="E726" s="111"/>
      <c r="G726" s="111"/>
    </row>
    <row r="727" ht="15.75" customHeight="1">
      <c r="A727" s="111"/>
      <c r="B727" s="111"/>
      <c r="C727" s="111"/>
      <c r="E727" s="111"/>
      <c r="G727" s="111"/>
    </row>
    <row r="728" ht="15.75" customHeight="1">
      <c r="A728" s="111"/>
      <c r="B728" s="111"/>
      <c r="C728" s="111"/>
      <c r="E728" s="111"/>
      <c r="G728" s="111"/>
    </row>
    <row r="729" ht="15.75" customHeight="1">
      <c r="A729" s="111"/>
      <c r="B729" s="111"/>
      <c r="C729" s="111"/>
      <c r="E729" s="111"/>
      <c r="G729" s="111"/>
    </row>
    <row r="730" ht="15.75" customHeight="1">
      <c r="A730" s="111"/>
      <c r="B730" s="111"/>
      <c r="C730" s="111"/>
      <c r="E730" s="111"/>
      <c r="G730" s="111"/>
    </row>
    <row r="731" ht="15.75" customHeight="1">
      <c r="A731" s="111"/>
      <c r="B731" s="111"/>
      <c r="C731" s="111"/>
      <c r="E731" s="111"/>
      <c r="G731" s="111"/>
    </row>
    <row r="732" ht="15.75" customHeight="1">
      <c r="A732" s="111"/>
      <c r="B732" s="111"/>
      <c r="C732" s="111"/>
      <c r="E732" s="111"/>
      <c r="G732" s="111"/>
    </row>
    <row r="733" ht="15.75" customHeight="1">
      <c r="A733" s="111"/>
      <c r="B733" s="111"/>
      <c r="C733" s="111"/>
      <c r="E733" s="111"/>
      <c r="G733" s="111"/>
    </row>
    <row r="734" ht="15.75" customHeight="1">
      <c r="A734" s="111"/>
      <c r="B734" s="111"/>
      <c r="C734" s="111"/>
      <c r="E734" s="111"/>
      <c r="G734" s="111"/>
    </row>
    <row r="735" ht="15.75" customHeight="1">
      <c r="A735" s="111"/>
      <c r="B735" s="111"/>
      <c r="C735" s="111"/>
      <c r="E735" s="111"/>
      <c r="G735" s="111"/>
    </row>
    <row r="736" ht="15.75" customHeight="1">
      <c r="A736" s="111"/>
      <c r="B736" s="111"/>
      <c r="C736" s="111"/>
      <c r="E736" s="111"/>
      <c r="G736" s="111"/>
    </row>
    <row r="737" ht="15.75" customHeight="1">
      <c r="A737" s="111"/>
      <c r="B737" s="111"/>
      <c r="C737" s="111"/>
      <c r="E737" s="111"/>
      <c r="G737" s="111"/>
    </row>
    <row r="738" ht="15.75" customHeight="1">
      <c r="A738" s="111"/>
      <c r="B738" s="111"/>
      <c r="C738" s="111"/>
      <c r="E738" s="111"/>
      <c r="G738" s="111"/>
    </row>
    <row r="739" ht="15.75" customHeight="1">
      <c r="A739" s="111"/>
      <c r="B739" s="111"/>
      <c r="C739" s="111"/>
      <c r="E739" s="111"/>
      <c r="G739" s="111"/>
    </row>
    <row r="740" ht="15.75" customHeight="1">
      <c r="A740" s="111"/>
      <c r="B740" s="111"/>
      <c r="C740" s="111"/>
      <c r="E740" s="111"/>
      <c r="G740" s="111"/>
    </row>
    <row r="741" ht="15.75" customHeight="1">
      <c r="A741" s="111"/>
      <c r="B741" s="111"/>
      <c r="C741" s="111"/>
      <c r="E741" s="111"/>
      <c r="G741" s="111"/>
    </row>
    <row r="742" ht="15.75" customHeight="1">
      <c r="A742" s="111"/>
      <c r="B742" s="111"/>
      <c r="C742" s="111"/>
      <c r="E742" s="111"/>
      <c r="G742" s="111"/>
    </row>
    <row r="743" ht="15.75" customHeight="1">
      <c r="A743" s="111"/>
      <c r="B743" s="111"/>
      <c r="C743" s="111"/>
      <c r="E743" s="111"/>
      <c r="G743" s="111"/>
    </row>
    <row r="744" ht="15.75" customHeight="1">
      <c r="A744" s="111"/>
      <c r="B744" s="111"/>
      <c r="C744" s="111"/>
      <c r="E744" s="111"/>
      <c r="G744" s="111"/>
    </row>
    <row r="745" ht="15.75" customHeight="1">
      <c r="A745" s="111"/>
      <c r="B745" s="111"/>
      <c r="C745" s="111"/>
      <c r="E745" s="111"/>
      <c r="G745" s="111"/>
    </row>
    <row r="746" ht="15.75" customHeight="1">
      <c r="A746" s="111"/>
      <c r="B746" s="111"/>
      <c r="C746" s="111"/>
      <c r="E746" s="111"/>
      <c r="G746" s="111"/>
    </row>
    <row r="747" ht="15.75" customHeight="1">
      <c r="A747" s="111"/>
      <c r="B747" s="111"/>
      <c r="C747" s="111"/>
      <c r="E747" s="111"/>
      <c r="G747" s="111"/>
    </row>
    <row r="748" ht="15.75" customHeight="1">
      <c r="A748" s="111"/>
      <c r="B748" s="111"/>
      <c r="C748" s="111"/>
      <c r="E748" s="111"/>
      <c r="G748" s="111"/>
    </row>
    <row r="749" ht="15.75" customHeight="1">
      <c r="A749" s="111"/>
      <c r="B749" s="111"/>
      <c r="C749" s="111"/>
      <c r="E749" s="111"/>
      <c r="G749" s="111"/>
    </row>
    <row r="750" ht="15.75" customHeight="1">
      <c r="A750" s="111"/>
      <c r="B750" s="111"/>
      <c r="C750" s="111"/>
      <c r="E750" s="111"/>
      <c r="G750" s="111"/>
    </row>
    <row r="751" ht="15.75" customHeight="1">
      <c r="A751" s="111"/>
      <c r="B751" s="111"/>
      <c r="C751" s="111"/>
      <c r="E751" s="111"/>
      <c r="G751" s="111"/>
    </row>
    <row r="752" ht="15.75" customHeight="1">
      <c r="A752" s="111"/>
      <c r="B752" s="111"/>
      <c r="C752" s="111"/>
      <c r="E752" s="111"/>
      <c r="G752" s="111"/>
    </row>
    <row r="753" ht="15.75" customHeight="1">
      <c r="A753" s="111"/>
      <c r="B753" s="111"/>
      <c r="C753" s="111"/>
      <c r="E753" s="111"/>
      <c r="G753" s="111"/>
    </row>
    <row r="754" ht="15.75" customHeight="1">
      <c r="A754" s="111"/>
      <c r="B754" s="111"/>
      <c r="C754" s="111"/>
      <c r="E754" s="111"/>
      <c r="G754" s="111"/>
    </row>
    <row r="755" ht="15.75" customHeight="1">
      <c r="A755" s="111"/>
      <c r="B755" s="111"/>
      <c r="C755" s="111"/>
      <c r="E755" s="111"/>
      <c r="G755" s="111"/>
    </row>
    <row r="756" ht="15.75" customHeight="1">
      <c r="A756" s="111"/>
      <c r="B756" s="111"/>
      <c r="C756" s="111"/>
      <c r="E756" s="111"/>
      <c r="G756" s="111"/>
    </row>
    <row r="757" ht="15.75" customHeight="1">
      <c r="A757" s="111"/>
      <c r="B757" s="111"/>
      <c r="C757" s="111"/>
      <c r="E757" s="111"/>
      <c r="G757" s="111"/>
    </row>
    <row r="758" ht="15.75" customHeight="1">
      <c r="A758" s="111"/>
      <c r="B758" s="111"/>
      <c r="C758" s="111"/>
      <c r="E758" s="111"/>
      <c r="G758" s="111"/>
    </row>
    <row r="759" ht="15.75" customHeight="1">
      <c r="A759" s="111"/>
      <c r="B759" s="111"/>
      <c r="C759" s="111"/>
      <c r="E759" s="111"/>
      <c r="G759" s="111"/>
    </row>
    <row r="760" ht="15.75" customHeight="1">
      <c r="A760" s="111"/>
      <c r="B760" s="111"/>
      <c r="C760" s="111"/>
      <c r="E760" s="111"/>
      <c r="G760" s="111"/>
    </row>
    <row r="761" ht="15.75" customHeight="1">
      <c r="A761" s="111"/>
      <c r="B761" s="111"/>
      <c r="C761" s="111"/>
      <c r="E761" s="111"/>
      <c r="G761" s="111"/>
    </row>
    <row r="762" ht="15.75" customHeight="1">
      <c r="A762" s="111"/>
      <c r="B762" s="111"/>
      <c r="C762" s="111"/>
      <c r="E762" s="111"/>
      <c r="G762" s="111"/>
    </row>
    <row r="763" ht="15.75" customHeight="1">
      <c r="A763" s="111"/>
      <c r="B763" s="111"/>
      <c r="C763" s="111"/>
      <c r="E763" s="111"/>
      <c r="G763" s="111"/>
    </row>
    <row r="764" ht="15.75" customHeight="1">
      <c r="A764" s="111"/>
      <c r="B764" s="111"/>
      <c r="C764" s="111"/>
      <c r="E764" s="111"/>
      <c r="G764" s="111"/>
    </row>
    <row r="765" ht="15.75" customHeight="1">
      <c r="A765" s="111"/>
      <c r="B765" s="111"/>
      <c r="C765" s="111"/>
      <c r="E765" s="111"/>
      <c r="G765" s="111"/>
    </row>
    <row r="766" ht="15.75" customHeight="1">
      <c r="A766" s="111"/>
      <c r="B766" s="111"/>
      <c r="C766" s="111"/>
      <c r="E766" s="111"/>
      <c r="G766" s="111"/>
    </row>
    <row r="767" ht="15.75" customHeight="1">
      <c r="A767" s="111"/>
      <c r="B767" s="111"/>
      <c r="C767" s="111"/>
      <c r="E767" s="111"/>
      <c r="G767" s="111"/>
    </row>
    <row r="768" ht="15.75" customHeight="1">
      <c r="A768" s="111"/>
      <c r="B768" s="111"/>
      <c r="C768" s="111"/>
      <c r="E768" s="111"/>
      <c r="G768" s="111"/>
    </row>
    <row r="769" ht="15.75" customHeight="1">
      <c r="A769" s="111"/>
      <c r="B769" s="111"/>
      <c r="C769" s="111"/>
      <c r="E769" s="111"/>
      <c r="G769" s="111"/>
    </row>
    <row r="770" ht="15.75" customHeight="1">
      <c r="A770" s="111"/>
      <c r="B770" s="111"/>
      <c r="C770" s="111"/>
      <c r="E770" s="111"/>
      <c r="G770" s="111"/>
    </row>
    <row r="771" ht="15.75" customHeight="1">
      <c r="A771" s="111"/>
      <c r="B771" s="111"/>
      <c r="C771" s="111"/>
      <c r="E771" s="111"/>
      <c r="G771" s="111"/>
    </row>
    <row r="772" ht="15.75" customHeight="1">
      <c r="A772" s="111"/>
      <c r="B772" s="111"/>
      <c r="C772" s="111"/>
      <c r="E772" s="111"/>
      <c r="G772" s="111"/>
    </row>
    <row r="773" ht="15.75" customHeight="1">
      <c r="A773" s="111"/>
      <c r="B773" s="111"/>
      <c r="C773" s="111"/>
      <c r="E773" s="111"/>
      <c r="G773" s="111"/>
    </row>
    <row r="774" ht="15.75" customHeight="1">
      <c r="A774" s="111"/>
      <c r="B774" s="111"/>
      <c r="C774" s="111"/>
      <c r="E774" s="111"/>
      <c r="G774" s="111"/>
    </row>
    <row r="775" ht="15.75" customHeight="1">
      <c r="A775" s="111"/>
      <c r="B775" s="111"/>
      <c r="C775" s="111"/>
      <c r="E775" s="111"/>
      <c r="G775" s="111"/>
    </row>
    <row r="776" ht="15.75" customHeight="1">
      <c r="A776" s="111"/>
      <c r="B776" s="111"/>
      <c r="C776" s="111"/>
      <c r="E776" s="111"/>
      <c r="G776" s="111"/>
    </row>
    <row r="777" ht="15.75" customHeight="1">
      <c r="A777" s="111"/>
      <c r="B777" s="111"/>
      <c r="C777" s="111"/>
      <c r="E777" s="111"/>
      <c r="G777" s="111"/>
    </row>
    <row r="778" ht="15.75" customHeight="1">
      <c r="A778" s="111"/>
      <c r="B778" s="111"/>
      <c r="C778" s="111"/>
      <c r="E778" s="111"/>
      <c r="G778" s="111"/>
    </row>
    <row r="779" ht="15.75" customHeight="1">
      <c r="A779" s="111"/>
      <c r="B779" s="111"/>
      <c r="C779" s="111"/>
      <c r="E779" s="111"/>
      <c r="G779" s="111"/>
    </row>
    <row r="780" ht="15.75" customHeight="1">
      <c r="A780" s="111"/>
      <c r="B780" s="111"/>
      <c r="C780" s="111"/>
      <c r="E780" s="111"/>
      <c r="G780" s="111"/>
    </row>
    <row r="781" ht="15.75" customHeight="1">
      <c r="A781" s="111"/>
      <c r="B781" s="111"/>
      <c r="C781" s="111"/>
      <c r="E781" s="111"/>
      <c r="G781" s="111"/>
    </row>
    <row r="782" ht="15.75" customHeight="1">
      <c r="A782" s="111"/>
      <c r="B782" s="111"/>
      <c r="C782" s="111"/>
      <c r="E782" s="111"/>
      <c r="G782" s="111"/>
    </row>
    <row r="783" ht="15.75" customHeight="1">
      <c r="A783" s="111"/>
      <c r="B783" s="111"/>
      <c r="C783" s="111"/>
      <c r="E783" s="111"/>
      <c r="G783" s="111"/>
    </row>
    <row r="784" ht="15.75" customHeight="1">
      <c r="A784" s="111"/>
      <c r="B784" s="111"/>
      <c r="C784" s="111"/>
      <c r="E784" s="111"/>
      <c r="G784" s="111"/>
    </row>
    <row r="785" ht="15.75" customHeight="1">
      <c r="A785" s="111"/>
      <c r="B785" s="111"/>
      <c r="C785" s="111"/>
      <c r="E785" s="111"/>
      <c r="G785" s="111"/>
    </row>
    <row r="786" ht="15.75" customHeight="1">
      <c r="A786" s="111"/>
      <c r="B786" s="111"/>
      <c r="C786" s="111"/>
      <c r="E786" s="111"/>
      <c r="G786" s="111"/>
    </row>
    <row r="787" ht="15.75" customHeight="1">
      <c r="A787" s="111"/>
      <c r="B787" s="111"/>
      <c r="C787" s="111"/>
      <c r="E787" s="111"/>
      <c r="G787" s="111"/>
    </row>
    <row r="788" ht="15.75" customHeight="1">
      <c r="A788" s="111"/>
      <c r="B788" s="111"/>
      <c r="C788" s="111"/>
      <c r="E788" s="111"/>
      <c r="G788" s="111"/>
    </row>
    <row r="789" ht="15.75" customHeight="1">
      <c r="A789" s="111"/>
      <c r="B789" s="111"/>
      <c r="C789" s="111"/>
      <c r="E789" s="111"/>
      <c r="G789" s="111"/>
    </row>
    <row r="790" ht="15.75" customHeight="1">
      <c r="A790" s="111"/>
      <c r="B790" s="111"/>
      <c r="C790" s="111"/>
      <c r="E790" s="111"/>
      <c r="G790" s="111"/>
    </row>
    <row r="791" ht="15.75" customHeight="1">
      <c r="A791" s="111"/>
      <c r="B791" s="111"/>
      <c r="C791" s="111"/>
      <c r="E791" s="111"/>
      <c r="G791" s="111"/>
    </row>
    <row r="792" ht="15.75" customHeight="1">
      <c r="A792" s="111"/>
      <c r="B792" s="111"/>
      <c r="C792" s="111"/>
      <c r="E792" s="111"/>
      <c r="G792" s="111"/>
    </row>
    <row r="793" ht="15.75" customHeight="1">
      <c r="A793" s="111"/>
      <c r="B793" s="111"/>
      <c r="C793" s="111"/>
      <c r="E793" s="111"/>
      <c r="G793" s="111"/>
    </row>
    <row r="794" ht="15.75" customHeight="1">
      <c r="A794" s="111"/>
      <c r="B794" s="111"/>
      <c r="C794" s="111"/>
      <c r="E794" s="111"/>
      <c r="G794" s="111"/>
    </row>
    <row r="795" ht="15.75" customHeight="1">
      <c r="A795" s="111"/>
      <c r="B795" s="111"/>
      <c r="C795" s="111"/>
      <c r="E795" s="111"/>
      <c r="G795" s="111"/>
    </row>
    <row r="796" ht="15.75" customHeight="1">
      <c r="A796" s="111"/>
      <c r="B796" s="111"/>
      <c r="C796" s="111"/>
      <c r="E796" s="111"/>
      <c r="G796" s="111"/>
    </row>
    <row r="797" ht="15.75" customHeight="1">
      <c r="A797" s="111"/>
      <c r="B797" s="111"/>
      <c r="C797" s="111"/>
      <c r="E797" s="111"/>
      <c r="G797" s="111"/>
    </row>
    <row r="798" ht="15.75" customHeight="1">
      <c r="A798" s="111"/>
      <c r="B798" s="111"/>
      <c r="C798" s="111"/>
      <c r="E798" s="111"/>
      <c r="G798" s="111"/>
    </row>
    <row r="799" ht="15.75" customHeight="1">
      <c r="A799" s="111"/>
      <c r="B799" s="111"/>
      <c r="C799" s="111"/>
      <c r="E799" s="111"/>
      <c r="G799" s="111"/>
    </row>
    <row r="800" ht="15.75" customHeight="1">
      <c r="A800" s="111"/>
      <c r="B800" s="111"/>
      <c r="C800" s="111"/>
      <c r="E800" s="111"/>
      <c r="G800" s="111"/>
    </row>
    <row r="801" ht="15.75" customHeight="1">
      <c r="A801" s="111"/>
      <c r="B801" s="111"/>
      <c r="C801" s="111"/>
      <c r="E801" s="111"/>
      <c r="G801" s="111"/>
    </row>
    <row r="802" ht="15.75" customHeight="1">
      <c r="A802" s="111"/>
      <c r="B802" s="111"/>
      <c r="C802" s="111"/>
      <c r="E802" s="111"/>
      <c r="G802" s="111"/>
    </row>
    <row r="803" ht="15.75" customHeight="1">
      <c r="A803" s="111"/>
      <c r="B803" s="111"/>
      <c r="C803" s="111"/>
      <c r="E803" s="111"/>
      <c r="G803" s="111"/>
    </row>
    <row r="804" ht="15.75" customHeight="1">
      <c r="A804" s="111"/>
      <c r="B804" s="111"/>
      <c r="C804" s="111"/>
      <c r="E804" s="111"/>
      <c r="G804" s="111"/>
    </row>
    <row r="805" ht="15.75" customHeight="1">
      <c r="A805" s="111"/>
      <c r="B805" s="111"/>
      <c r="C805" s="111"/>
      <c r="E805" s="111"/>
      <c r="G805" s="111"/>
    </row>
    <row r="806" ht="15.75" customHeight="1">
      <c r="A806" s="111"/>
      <c r="B806" s="111"/>
      <c r="C806" s="111"/>
      <c r="E806" s="111"/>
      <c r="G806" s="111"/>
    </row>
    <row r="807" ht="15.75" customHeight="1">
      <c r="A807" s="111"/>
      <c r="B807" s="111"/>
      <c r="C807" s="111"/>
      <c r="E807" s="111"/>
      <c r="G807" s="111"/>
    </row>
    <row r="808" ht="15.75" customHeight="1">
      <c r="A808" s="111"/>
      <c r="B808" s="111"/>
      <c r="C808" s="111"/>
      <c r="E808" s="111"/>
      <c r="G808" s="111"/>
    </row>
    <row r="809" ht="15.75" customHeight="1">
      <c r="A809" s="111"/>
      <c r="B809" s="111"/>
      <c r="C809" s="111"/>
      <c r="E809" s="111"/>
      <c r="G809" s="111"/>
    </row>
    <row r="810" ht="15.75" customHeight="1">
      <c r="A810" s="111"/>
      <c r="B810" s="111"/>
      <c r="C810" s="111"/>
      <c r="E810" s="111"/>
      <c r="G810" s="111"/>
    </row>
    <row r="811" ht="15.75" customHeight="1">
      <c r="A811" s="111"/>
      <c r="B811" s="111"/>
      <c r="C811" s="111"/>
      <c r="E811" s="111"/>
      <c r="G811" s="111"/>
    </row>
    <row r="812" ht="15.75" customHeight="1">
      <c r="A812" s="111"/>
      <c r="B812" s="111"/>
      <c r="C812" s="111"/>
      <c r="E812" s="111"/>
      <c r="G812" s="111"/>
    </row>
    <row r="813" ht="15.75" customHeight="1">
      <c r="A813" s="111"/>
      <c r="B813" s="111"/>
      <c r="C813" s="111"/>
      <c r="E813" s="111"/>
      <c r="G813" s="111"/>
    </row>
    <row r="814" ht="15.75" customHeight="1">
      <c r="A814" s="111"/>
      <c r="B814" s="111"/>
      <c r="C814" s="111"/>
      <c r="E814" s="111"/>
      <c r="G814" s="111"/>
    </row>
    <row r="815" ht="15.75" customHeight="1">
      <c r="A815" s="111"/>
      <c r="B815" s="111"/>
      <c r="C815" s="111"/>
      <c r="E815" s="111"/>
      <c r="G815" s="111"/>
    </row>
    <row r="816" ht="15.75" customHeight="1">
      <c r="A816" s="111"/>
      <c r="B816" s="111"/>
      <c r="C816" s="111"/>
      <c r="E816" s="111"/>
      <c r="G816" s="111"/>
    </row>
    <row r="817" ht="15.75" customHeight="1">
      <c r="A817" s="111"/>
      <c r="B817" s="111"/>
      <c r="C817" s="111"/>
      <c r="E817" s="111"/>
      <c r="G817" s="111"/>
    </row>
    <row r="818" ht="15.75" customHeight="1">
      <c r="A818" s="111"/>
      <c r="B818" s="111"/>
      <c r="C818" s="111"/>
      <c r="E818" s="111"/>
      <c r="G818" s="111"/>
    </row>
    <row r="819" ht="15.75" customHeight="1">
      <c r="A819" s="111"/>
      <c r="B819" s="111"/>
      <c r="C819" s="111"/>
      <c r="E819" s="111"/>
      <c r="G819" s="111"/>
    </row>
    <row r="820" ht="15.75" customHeight="1">
      <c r="A820" s="111"/>
      <c r="B820" s="111"/>
      <c r="C820" s="111"/>
      <c r="E820" s="111"/>
      <c r="G820" s="111"/>
    </row>
    <row r="821" ht="15.75" customHeight="1">
      <c r="A821" s="111"/>
      <c r="B821" s="111"/>
      <c r="C821" s="111"/>
      <c r="E821" s="111"/>
      <c r="G821" s="111"/>
    </row>
    <row r="822" ht="15.75" customHeight="1">
      <c r="A822" s="111"/>
      <c r="B822" s="111"/>
      <c r="C822" s="111"/>
      <c r="E822" s="111"/>
      <c r="G822" s="111"/>
    </row>
    <row r="823" ht="15.75" customHeight="1">
      <c r="A823" s="111"/>
      <c r="B823" s="111"/>
      <c r="C823" s="111"/>
      <c r="E823" s="111"/>
      <c r="G823" s="111"/>
    </row>
    <row r="824" ht="15.75" customHeight="1">
      <c r="A824" s="111"/>
      <c r="B824" s="111"/>
      <c r="C824" s="111"/>
      <c r="E824" s="111"/>
      <c r="G824" s="111"/>
    </row>
    <row r="825" ht="15.75" customHeight="1">
      <c r="A825" s="111"/>
      <c r="B825" s="111"/>
      <c r="C825" s="111"/>
      <c r="E825" s="111"/>
      <c r="G825" s="111"/>
    </row>
    <row r="826" ht="15.75" customHeight="1">
      <c r="A826" s="111"/>
      <c r="B826" s="111"/>
      <c r="C826" s="111"/>
      <c r="E826" s="111"/>
      <c r="G826" s="111"/>
    </row>
    <row r="827" ht="15.75" customHeight="1">
      <c r="A827" s="111"/>
      <c r="B827" s="111"/>
      <c r="C827" s="111"/>
      <c r="E827" s="111"/>
      <c r="G827" s="111"/>
    </row>
    <row r="828" ht="15.75" customHeight="1">
      <c r="A828" s="111"/>
      <c r="B828" s="111"/>
      <c r="C828" s="111"/>
      <c r="E828" s="111"/>
      <c r="G828" s="111"/>
    </row>
    <row r="829" ht="15.75" customHeight="1">
      <c r="A829" s="111"/>
      <c r="B829" s="111"/>
      <c r="C829" s="111"/>
      <c r="E829" s="111"/>
      <c r="G829" s="111"/>
    </row>
    <row r="830" ht="15.75" customHeight="1">
      <c r="A830" s="111"/>
      <c r="B830" s="111"/>
      <c r="C830" s="111"/>
      <c r="E830" s="111"/>
      <c r="G830" s="111"/>
    </row>
    <row r="831" ht="15.75" customHeight="1">
      <c r="A831" s="111"/>
      <c r="B831" s="111"/>
      <c r="C831" s="111"/>
      <c r="E831" s="111"/>
      <c r="G831" s="111"/>
    </row>
    <row r="832" ht="15.75" customHeight="1">
      <c r="A832" s="111"/>
      <c r="B832" s="111"/>
      <c r="C832" s="111"/>
      <c r="E832" s="111"/>
      <c r="G832" s="111"/>
    </row>
    <row r="833" ht="15.75" customHeight="1">
      <c r="A833" s="111"/>
      <c r="B833" s="111"/>
      <c r="C833" s="111"/>
      <c r="E833" s="111"/>
      <c r="G833" s="111"/>
    </row>
    <row r="834" ht="15.75" customHeight="1">
      <c r="A834" s="111"/>
      <c r="B834" s="111"/>
      <c r="C834" s="111"/>
      <c r="E834" s="111"/>
      <c r="G834" s="111"/>
    </row>
    <row r="835" ht="15.75" customHeight="1">
      <c r="A835" s="111"/>
      <c r="B835" s="111"/>
      <c r="C835" s="111"/>
      <c r="E835" s="111"/>
      <c r="G835" s="111"/>
    </row>
    <row r="836" ht="15.75" customHeight="1">
      <c r="A836" s="111"/>
      <c r="B836" s="111"/>
      <c r="C836" s="111"/>
      <c r="E836" s="111"/>
      <c r="G836" s="111"/>
    </row>
    <row r="837" ht="15.75" customHeight="1">
      <c r="A837" s="111"/>
      <c r="B837" s="111"/>
      <c r="C837" s="111"/>
      <c r="E837" s="111"/>
      <c r="G837" s="111"/>
    </row>
    <row r="838" ht="15.75" customHeight="1">
      <c r="A838" s="111"/>
      <c r="B838" s="111"/>
      <c r="C838" s="111"/>
      <c r="E838" s="111"/>
      <c r="G838" s="111"/>
    </row>
    <row r="839" ht="15.75" customHeight="1">
      <c r="A839" s="111"/>
      <c r="B839" s="111"/>
      <c r="C839" s="111"/>
      <c r="E839" s="111"/>
      <c r="G839" s="111"/>
    </row>
    <row r="840" ht="15.75" customHeight="1">
      <c r="A840" s="111"/>
      <c r="B840" s="111"/>
      <c r="C840" s="111"/>
      <c r="E840" s="111"/>
      <c r="G840" s="111"/>
    </row>
    <row r="841" ht="15.75" customHeight="1">
      <c r="A841" s="111"/>
      <c r="B841" s="111"/>
      <c r="C841" s="111"/>
      <c r="E841" s="111"/>
      <c r="G841" s="111"/>
    </row>
    <row r="842" ht="15.75" customHeight="1">
      <c r="A842" s="111"/>
      <c r="B842" s="111"/>
      <c r="C842" s="111"/>
      <c r="E842" s="111"/>
      <c r="G842" s="111"/>
    </row>
    <row r="843" ht="15.75" customHeight="1">
      <c r="A843" s="111"/>
      <c r="B843" s="111"/>
      <c r="C843" s="111"/>
      <c r="E843" s="111"/>
      <c r="G843" s="111"/>
    </row>
    <row r="844" ht="15.75" customHeight="1">
      <c r="A844" s="111"/>
      <c r="B844" s="111"/>
      <c r="C844" s="111"/>
      <c r="E844" s="111"/>
      <c r="G844" s="111"/>
    </row>
    <row r="845" ht="15.75" customHeight="1">
      <c r="A845" s="111"/>
      <c r="B845" s="111"/>
      <c r="C845" s="111"/>
      <c r="E845" s="111"/>
      <c r="G845" s="111"/>
    </row>
    <row r="846" ht="15.75" customHeight="1">
      <c r="A846" s="111"/>
      <c r="B846" s="111"/>
      <c r="C846" s="111"/>
      <c r="E846" s="111"/>
      <c r="G846" s="111"/>
    </row>
    <row r="847" ht="15.75" customHeight="1">
      <c r="A847" s="111"/>
      <c r="B847" s="111"/>
      <c r="C847" s="111"/>
      <c r="E847" s="111"/>
      <c r="G847" s="111"/>
    </row>
    <row r="848" ht="15.75" customHeight="1">
      <c r="A848" s="111"/>
      <c r="B848" s="111"/>
      <c r="C848" s="111"/>
      <c r="E848" s="111"/>
      <c r="G848" s="111"/>
    </row>
    <row r="849" ht="15.75" customHeight="1">
      <c r="A849" s="111"/>
      <c r="B849" s="111"/>
      <c r="C849" s="111"/>
      <c r="E849" s="111"/>
      <c r="G849" s="111"/>
    </row>
    <row r="850" ht="15.75" customHeight="1">
      <c r="A850" s="111"/>
      <c r="B850" s="111"/>
      <c r="C850" s="111"/>
      <c r="E850" s="111"/>
      <c r="G850" s="111"/>
    </row>
    <row r="851" ht="15.75" customHeight="1">
      <c r="A851" s="111"/>
      <c r="B851" s="111"/>
      <c r="C851" s="111"/>
      <c r="E851" s="111"/>
      <c r="G851" s="111"/>
    </row>
    <row r="852" ht="15.75" customHeight="1">
      <c r="A852" s="111"/>
      <c r="B852" s="111"/>
      <c r="C852" s="111"/>
      <c r="E852" s="111"/>
      <c r="G852" s="111"/>
    </row>
    <row r="853" ht="15.75" customHeight="1">
      <c r="A853" s="111"/>
      <c r="B853" s="111"/>
      <c r="C853" s="111"/>
      <c r="E853" s="111"/>
      <c r="G853" s="111"/>
    </row>
    <row r="854" ht="15.75" customHeight="1">
      <c r="A854" s="111"/>
      <c r="B854" s="111"/>
      <c r="C854" s="111"/>
      <c r="E854" s="111"/>
      <c r="G854" s="111"/>
    </row>
    <row r="855" ht="15.75" customHeight="1">
      <c r="A855" s="111"/>
      <c r="B855" s="111"/>
      <c r="C855" s="111"/>
      <c r="E855" s="111"/>
      <c r="G855" s="111"/>
    </row>
    <row r="856" ht="15.75" customHeight="1">
      <c r="A856" s="111"/>
      <c r="B856" s="111"/>
      <c r="C856" s="111"/>
      <c r="E856" s="111"/>
      <c r="G856" s="111"/>
    </row>
    <row r="857" ht="15.75" customHeight="1">
      <c r="A857" s="111"/>
      <c r="B857" s="111"/>
      <c r="C857" s="111"/>
      <c r="E857" s="111"/>
      <c r="G857" s="111"/>
    </row>
    <row r="858" ht="15.75" customHeight="1">
      <c r="A858" s="111"/>
      <c r="B858" s="111"/>
      <c r="C858" s="111"/>
      <c r="E858" s="111"/>
      <c r="G858" s="111"/>
    </row>
    <row r="859" ht="15.75" customHeight="1">
      <c r="A859" s="111"/>
      <c r="B859" s="111"/>
      <c r="C859" s="111"/>
      <c r="E859" s="111"/>
      <c r="G859" s="111"/>
    </row>
    <row r="860" ht="15.75" customHeight="1">
      <c r="A860" s="111"/>
      <c r="B860" s="111"/>
      <c r="C860" s="111"/>
      <c r="E860" s="111"/>
      <c r="G860" s="111"/>
    </row>
    <row r="861" ht="15.75" customHeight="1">
      <c r="A861" s="111"/>
      <c r="B861" s="111"/>
      <c r="C861" s="111"/>
      <c r="E861" s="111"/>
      <c r="G861" s="111"/>
    </row>
    <row r="862" ht="15.75" customHeight="1">
      <c r="A862" s="111"/>
      <c r="B862" s="111"/>
      <c r="C862" s="111"/>
      <c r="E862" s="111"/>
      <c r="G862" s="111"/>
    </row>
    <row r="863" ht="15.75" customHeight="1">
      <c r="A863" s="111"/>
      <c r="B863" s="111"/>
      <c r="C863" s="111"/>
      <c r="E863" s="111"/>
      <c r="G863" s="111"/>
    </row>
    <row r="864" ht="15.75" customHeight="1">
      <c r="A864" s="111"/>
      <c r="B864" s="111"/>
      <c r="C864" s="111"/>
      <c r="E864" s="111"/>
      <c r="G864" s="111"/>
    </row>
    <row r="865" ht="15.75" customHeight="1">
      <c r="A865" s="111"/>
      <c r="B865" s="111"/>
      <c r="C865" s="111"/>
      <c r="E865" s="111"/>
      <c r="G865" s="111"/>
    </row>
    <row r="866" ht="15.75" customHeight="1">
      <c r="A866" s="111"/>
      <c r="B866" s="111"/>
      <c r="C866" s="111"/>
      <c r="E866" s="111"/>
      <c r="G866" s="111"/>
    </row>
    <row r="867" ht="15.75" customHeight="1">
      <c r="A867" s="111"/>
      <c r="B867" s="111"/>
      <c r="C867" s="111"/>
      <c r="E867" s="111"/>
      <c r="G867" s="111"/>
    </row>
    <row r="868" ht="15.75" customHeight="1">
      <c r="A868" s="111"/>
      <c r="B868" s="111"/>
      <c r="C868" s="111"/>
      <c r="E868" s="111"/>
      <c r="G868" s="111"/>
    </row>
    <row r="869" ht="15.75" customHeight="1">
      <c r="A869" s="111"/>
      <c r="B869" s="111"/>
      <c r="C869" s="111"/>
      <c r="E869" s="111"/>
      <c r="G869" s="111"/>
    </row>
    <row r="870" ht="15.75" customHeight="1">
      <c r="A870" s="111"/>
      <c r="B870" s="111"/>
      <c r="C870" s="111"/>
      <c r="E870" s="111"/>
      <c r="G870" s="111"/>
    </row>
    <row r="871" ht="15.75" customHeight="1">
      <c r="A871" s="111"/>
      <c r="B871" s="111"/>
      <c r="C871" s="111"/>
      <c r="E871" s="111"/>
      <c r="G871" s="111"/>
    </row>
    <row r="872" ht="15.75" customHeight="1">
      <c r="A872" s="111"/>
      <c r="B872" s="111"/>
      <c r="C872" s="111"/>
      <c r="E872" s="111"/>
      <c r="G872" s="111"/>
    </row>
    <row r="873" ht="15.75" customHeight="1">
      <c r="A873" s="111"/>
      <c r="B873" s="111"/>
      <c r="C873" s="111"/>
      <c r="E873" s="111"/>
      <c r="G873" s="111"/>
    </row>
    <row r="874" ht="15.75" customHeight="1">
      <c r="A874" s="111"/>
      <c r="B874" s="111"/>
      <c r="C874" s="111"/>
      <c r="E874" s="111"/>
      <c r="G874" s="111"/>
    </row>
    <row r="875" ht="15.75" customHeight="1">
      <c r="A875" s="111"/>
      <c r="B875" s="111"/>
      <c r="C875" s="111"/>
      <c r="E875" s="111"/>
      <c r="G875" s="111"/>
    </row>
    <row r="876" ht="15.75" customHeight="1">
      <c r="A876" s="111"/>
      <c r="B876" s="111"/>
      <c r="C876" s="111"/>
      <c r="E876" s="111"/>
      <c r="G876" s="111"/>
    </row>
    <row r="877" ht="15.75" customHeight="1">
      <c r="A877" s="111"/>
      <c r="B877" s="111"/>
      <c r="C877" s="111"/>
      <c r="E877" s="111"/>
      <c r="G877" s="111"/>
    </row>
    <row r="878" ht="15.75" customHeight="1">
      <c r="A878" s="111"/>
      <c r="B878" s="111"/>
      <c r="C878" s="111"/>
      <c r="E878" s="111"/>
      <c r="G878" s="111"/>
    </row>
    <row r="879" ht="15.75" customHeight="1">
      <c r="A879" s="111"/>
      <c r="B879" s="111"/>
      <c r="C879" s="111"/>
      <c r="E879" s="111"/>
      <c r="G879" s="111"/>
    </row>
    <row r="880" ht="15.75" customHeight="1">
      <c r="A880" s="111"/>
      <c r="B880" s="111"/>
      <c r="C880" s="111"/>
      <c r="E880" s="111"/>
      <c r="G880" s="111"/>
    </row>
    <row r="881" ht="15.75" customHeight="1">
      <c r="A881" s="111"/>
      <c r="B881" s="111"/>
      <c r="C881" s="111"/>
      <c r="E881" s="111"/>
      <c r="G881" s="111"/>
    </row>
    <row r="882" ht="15.75" customHeight="1">
      <c r="A882" s="111"/>
      <c r="B882" s="111"/>
      <c r="C882" s="111"/>
      <c r="E882" s="111"/>
      <c r="G882" s="111"/>
    </row>
    <row r="883" ht="15.75" customHeight="1">
      <c r="A883" s="111"/>
      <c r="B883" s="111"/>
      <c r="C883" s="111"/>
      <c r="E883" s="111"/>
      <c r="G883" s="111"/>
    </row>
    <row r="884" ht="15.75" customHeight="1">
      <c r="A884" s="111"/>
      <c r="B884" s="111"/>
      <c r="C884" s="111"/>
      <c r="E884" s="111"/>
      <c r="G884" s="111"/>
    </row>
    <row r="885" ht="15.75" customHeight="1">
      <c r="A885" s="111"/>
      <c r="B885" s="111"/>
      <c r="C885" s="111"/>
      <c r="E885" s="111"/>
      <c r="G885" s="111"/>
    </row>
    <row r="886" ht="15.75" customHeight="1">
      <c r="A886" s="111"/>
      <c r="B886" s="111"/>
      <c r="C886" s="111"/>
      <c r="E886" s="111"/>
      <c r="G886" s="111"/>
    </row>
    <row r="887" ht="15.75" customHeight="1">
      <c r="A887" s="111"/>
      <c r="B887" s="111"/>
      <c r="C887" s="111"/>
      <c r="E887" s="111"/>
      <c r="G887" s="111"/>
    </row>
    <row r="888" ht="15.75" customHeight="1">
      <c r="A888" s="111"/>
      <c r="B888" s="111"/>
      <c r="C888" s="111"/>
      <c r="E888" s="111"/>
      <c r="G888" s="111"/>
    </row>
    <row r="889" ht="15.75" customHeight="1">
      <c r="A889" s="111"/>
      <c r="B889" s="111"/>
      <c r="C889" s="111"/>
      <c r="E889" s="111"/>
      <c r="G889" s="111"/>
    </row>
    <row r="890" ht="15.75" customHeight="1">
      <c r="A890" s="111"/>
      <c r="B890" s="111"/>
      <c r="C890" s="111"/>
      <c r="E890" s="111"/>
      <c r="G890" s="111"/>
    </row>
    <row r="891" ht="15.75" customHeight="1">
      <c r="A891" s="111"/>
      <c r="B891" s="111"/>
      <c r="C891" s="111"/>
      <c r="E891" s="111"/>
      <c r="G891" s="111"/>
    </row>
    <row r="892" ht="15.75" customHeight="1">
      <c r="A892" s="111"/>
      <c r="B892" s="111"/>
      <c r="C892" s="111"/>
      <c r="E892" s="111"/>
      <c r="G892" s="111"/>
    </row>
    <row r="893" ht="15.75" customHeight="1">
      <c r="A893" s="111"/>
      <c r="B893" s="111"/>
      <c r="C893" s="111"/>
      <c r="E893" s="111"/>
      <c r="G893" s="111"/>
    </row>
    <row r="894" ht="15.75" customHeight="1">
      <c r="A894" s="111"/>
      <c r="B894" s="111"/>
      <c r="C894" s="111"/>
      <c r="E894" s="111"/>
      <c r="G894" s="111"/>
    </row>
    <row r="895" ht="15.75" customHeight="1">
      <c r="A895" s="111"/>
      <c r="B895" s="111"/>
      <c r="C895" s="111"/>
      <c r="E895" s="111"/>
      <c r="G895" s="111"/>
    </row>
    <row r="896" ht="15.75" customHeight="1">
      <c r="A896" s="111"/>
      <c r="B896" s="111"/>
      <c r="C896" s="111"/>
      <c r="E896" s="111"/>
      <c r="G896" s="111"/>
    </row>
    <row r="897" ht="15.75" customHeight="1">
      <c r="A897" s="111"/>
      <c r="B897" s="111"/>
      <c r="C897" s="111"/>
      <c r="E897" s="111"/>
      <c r="G897" s="111"/>
    </row>
    <row r="898" ht="15.75" customHeight="1">
      <c r="A898" s="111"/>
      <c r="B898" s="111"/>
      <c r="C898" s="111"/>
      <c r="E898" s="111"/>
      <c r="G898" s="111"/>
    </row>
    <row r="899" ht="15.75" customHeight="1">
      <c r="A899" s="111"/>
      <c r="B899" s="111"/>
      <c r="C899" s="111"/>
      <c r="E899" s="111"/>
      <c r="G899" s="111"/>
    </row>
    <row r="900" ht="15.75" customHeight="1">
      <c r="A900" s="111"/>
      <c r="B900" s="111"/>
      <c r="C900" s="111"/>
      <c r="E900" s="111"/>
      <c r="G900" s="111"/>
    </row>
    <row r="901" ht="15.75" customHeight="1">
      <c r="A901" s="111"/>
      <c r="B901" s="111"/>
      <c r="C901" s="111"/>
      <c r="E901" s="111"/>
      <c r="G901" s="111"/>
    </row>
    <row r="902" ht="15.75" customHeight="1">
      <c r="A902" s="111"/>
      <c r="B902" s="111"/>
      <c r="C902" s="111"/>
      <c r="E902" s="111"/>
      <c r="G902" s="111"/>
    </row>
    <row r="903" ht="15.75" customHeight="1">
      <c r="A903" s="111"/>
      <c r="B903" s="111"/>
      <c r="C903" s="111"/>
      <c r="E903" s="111"/>
      <c r="G903" s="111"/>
    </row>
    <row r="904" ht="15.75" customHeight="1">
      <c r="A904" s="111"/>
      <c r="B904" s="111"/>
      <c r="C904" s="111"/>
      <c r="E904" s="111"/>
      <c r="G904" s="111"/>
    </row>
    <row r="905" ht="15.75" customHeight="1">
      <c r="A905" s="111"/>
      <c r="B905" s="111"/>
      <c r="C905" s="111"/>
      <c r="E905" s="111"/>
      <c r="G905" s="111"/>
    </row>
    <row r="906" ht="15.75" customHeight="1">
      <c r="A906" s="111"/>
      <c r="B906" s="111"/>
      <c r="C906" s="111"/>
      <c r="E906" s="111"/>
      <c r="G906" s="111"/>
    </row>
    <row r="907" ht="15.75" customHeight="1">
      <c r="A907" s="111"/>
      <c r="B907" s="111"/>
      <c r="C907" s="111"/>
      <c r="E907" s="111"/>
      <c r="G907" s="111"/>
    </row>
    <row r="908" ht="15.75" customHeight="1">
      <c r="A908" s="111"/>
      <c r="B908" s="111"/>
      <c r="C908" s="111"/>
      <c r="E908" s="111"/>
      <c r="G908" s="111"/>
    </row>
    <row r="909" ht="15.75" customHeight="1">
      <c r="A909" s="111"/>
      <c r="B909" s="111"/>
      <c r="C909" s="111"/>
      <c r="E909" s="111"/>
      <c r="G909" s="111"/>
    </row>
    <row r="910" ht="15.75" customHeight="1">
      <c r="A910" s="111"/>
      <c r="B910" s="111"/>
      <c r="C910" s="111"/>
      <c r="E910" s="111"/>
      <c r="G910" s="111"/>
    </row>
    <row r="911" ht="15.75" customHeight="1">
      <c r="A911" s="111"/>
      <c r="B911" s="111"/>
      <c r="C911" s="111"/>
      <c r="E911" s="111"/>
      <c r="G911" s="111"/>
    </row>
    <row r="912" ht="15.75" customHeight="1">
      <c r="A912" s="111"/>
      <c r="B912" s="111"/>
      <c r="C912" s="111"/>
      <c r="E912" s="111"/>
      <c r="G912" s="111"/>
    </row>
    <row r="913" ht="15.75" customHeight="1">
      <c r="A913" s="111"/>
      <c r="B913" s="111"/>
      <c r="C913" s="111"/>
      <c r="E913" s="111"/>
      <c r="G913" s="111"/>
    </row>
    <row r="914" ht="15.75" customHeight="1">
      <c r="A914" s="111"/>
      <c r="B914" s="111"/>
      <c r="C914" s="111"/>
      <c r="E914" s="111"/>
      <c r="G914" s="111"/>
    </row>
    <row r="915" ht="15.75" customHeight="1">
      <c r="A915" s="111"/>
      <c r="B915" s="111"/>
      <c r="C915" s="111"/>
      <c r="E915" s="111"/>
      <c r="G915" s="111"/>
    </row>
    <row r="916" ht="15.75" customHeight="1">
      <c r="A916" s="111"/>
      <c r="B916" s="111"/>
      <c r="C916" s="111"/>
      <c r="E916" s="111"/>
      <c r="G916" s="111"/>
    </row>
    <row r="917" ht="15.75" customHeight="1">
      <c r="A917" s="111"/>
      <c r="B917" s="111"/>
      <c r="C917" s="111"/>
      <c r="E917" s="111"/>
      <c r="G917" s="111"/>
    </row>
    <row r="918" ht="15.75" customHeight="1">
      <c r="A918" s="111"/>
      <c r="B918" s="111"/>
      <c r="C918" s="111"/>
      <c r="E918" s="111"/>
      <c r="G918" s="111"/>
    </row>
    <row r="919" ht="15.75" customHeight="1">
      <c r="A919" s="111"/>
      <c r="B919" s="111"/>
      <c r="C919" s="111"/>
      <c r="E919" s="111"/>
      <c r="G919" s="111"/>
    </row>
    <row r="920" ht="15.75" customHeight="1">
      <c r="A920" s="111"/>
      <c r="B920" s="111"/>
      <c r="C920" s="111"/>
      <c r="E920" s="111"/>
      <c r="G920" s="111"/>
    </row>
    <row r="921" ht="15.75" customHeight="1">
      <c r="A921" s="111"/>
      <c r="B921" s="111"/>
      <c r="C921" s="111"/>
      <c r="E921" s="111"/>
      <c r="G921" s="111"/>
    </row>
    <row r="922" ht="15.75" customHeight="1">
      <c r="A922" s="111"/>
      <c r="B922" s="111"/>
      <c r="C922" s="111"/>
      <c r="E922" s="111"/>
      <c r="G922" s="111"/>
    </row>
    <row r="923" ht="15.75" customHeight="1">
      <c r="A923" s="111"/>
      <c r="B923" s="111"/>
      <c r="C923" s="111"/>
      <c r="E923" s="111"/>
      <c r="G923" s="111"/>
    </row>
    <row r="924" ht="15.75" customHeight="1">
      <c r="A924" s="111"/>
      <c r="B924" s="111"/>
      <c r="C924" s="111"/>
      <c r="E924" s="111"/>
      <c r="G924" s="111"/>
    </row>
    <row r="925" ht="15.75" customHeight="1">
      <c r="A925" s="111"/>
      <c r="B925" s="111"/>
      <c r="C925" s="111"/>
      <c r="E925" s="111"/>
      <c r="G925" s="111"/>
    </row>
    <row r="926" ht="15.75" customHeight="1">
      <c r="A926" s="111"/>
      <c r="B926" s="111"/>
      <c r="C926" s="111"/>
      <c r="E926" s="111"/>
      <c r="G926" s="111"/>
    </row>
    <row r="927" ht="15.75" customHeight="1">
      <c r="A927" s="111"/>
      <c r="B927" s="111"/>
      <c r="C927" s="111"/>
      <c r="E927" s="111"/>
      <c r="G927" s="111"/>
    </row>
    <row r="928" ht="15.75" customHeight="1">
      <c r="A928" s="111"/>
      <c r="B928" s="111"/>
      <c r="C928" s="111"/>
      <c r="E928" s="111"/>
      <c r="G928" s="111"/>
    </row>
    <row r="929" ht="15.75" customHeight="1">
      <c r="A929" s="111"/>
      <c r="B929" s="111"/>
      <c r="C929" s="111"/>
      <c r="E929" s="111"/>
      <c r="G929" s="111"/>
    </row>
    <row r="930" ht="15.75" customHeight="1">
      <c r="A930" s="111"/>
      <c r="B930" s="111"/>
      <c r="C930" s="111"/>
      <c r="E930" s="111"/>
      <c r="G930" s="111"/>
    </row>
    <row r="931" ht="15.75" customHeight="1">
      <c r="A931" s="111"/>
      <c r="B931" s="111"/>
      <c r="C931" s="111"/>
      <c r="E931" s="111"/>
      <c r="G931" s="111"/>
    </row>
    <row r="932" ht="15.75" customHeight="1">
      <c r="A932" s="111"/>
      <c r="B932" s="111"/>
      <c r="C932" s="111"/>
      <c r="E932" s="111"/>
      <c r="G932" s="111"/>
    </row>
    <row r="933" ht="15.75" customHeight="1">
      <c r="A933" s="111"/>
      <c r="B933" s="111"/>
      <c r="C933" s="111"/>
      <c r="E933" s="111"/>
      <c r="G933" s="111"/>
    </row>
    <row r="934" ht="15.75" customHeight="1">
      <c r="A934" s="111"/>
      <c r="B934" s="111"/>
      <c r="C934" s="111"/>
      <c r="E934" s="111"/>
      <c r="G934" s="111"/>
    </row>
    <row r="935" ht="15.75" customHeight="1">
      <c r="A935" s="111"/>
      <c r="B935" s="111"/>
      <c r="C935" s="111"/>
      <c r="E935" s="111"/>
      <c r="G935" s="111"/>
    </row>
    <row r="936" ht="15.75" customHeight="1">
      <c r="A936" s="111"/>
      <c r="B936" s="111"/>
      <c r="C936" s="111"/>
      <c r="E936" s="111"/>
      <c r="G936" s="111"/>
    </row>
    <row r="937" ht="15.75" customHeight="1">
      <c r="A937" s="111"/>
      <c r="B937" s="111"/>
      <c r="C937" s="111"/>
      <c r="E937" s="111"/>
      <c r="G937" s="111"/>
    </row>
    <row r="938" ht="15.75" customHeight="1">
      <c r="A938" s="111"/>
      <c r="B938" s="111"/>
      <c r="C938" s="111"/>
      <c r="E938" s="111"/>
      <c r="G938" s="111"/>
    </row>
    <row r="939" ht="15.75" customHeight="1">
      <c r="A939" s="111"/>
      <c r="B939" s="111"/>
      <c r="C939" s="111"/>
      <c r="E939" s="111"/>
      <c r="G939" s="111"/>
    </row>
    <row r="940" ht="15.75" customHeight="1">
      <c r="A940" s="111"/>
      <c r="B940" s="111"/>
      <c r="C940" s="111"/>
      <c r="E940" s="111"/>
      <c r="G940" s="111"/>
    </row>
    <row r="941" ht="15.75" customHeight="1">
      <c r="A941" s="111"/>
      <c r="B941" s="111"/>
      <c r="C941" s="111"/>
      <c r="E941" s="111"/>
      <c r="G941" s="111"/>
    </row>
    <row r="942" ht="15.75" customHeight="1">
      <c r="A942" s="111"/>
      <c r="B942" s="111"/>
      <c r="C942" s="111"/>
      <c r="E942" s="111"/>
      <c r="G942" s="111"/>
    </row>
    <row r="943" ht="15.75" customHeight="1">
      <c r="A943" s="111"/>
      <c r="B943" s="111"/>
      <c r="C943" s="111"/>
      <c r="E943" s="111"/>
      <c r="G943" s="111"/>
    </row>
    <row r="944" ht="15.75" customHeight="1">
      <c r="A944" s="111"/>
      <c r="B944" s="111"/>
      <c r="C944" s="111"/>
      <c r="E944" s="111"/>
      <c r="G944" s="111"/>
    </row>
    <row r="945" ht="15.75" customHeight="1">
      <c r="A945" s="111"/>
      <c r="B945" s="111"/>
      <c r="C945" s="111"/>
      <c r="E945" s="111"/>
      <c r="G945" s="111"/>
    </row>
    <row r="946" ht="15.75" customHeight="1">
      <c r="A946" s="111"/>
      <c r="B946" s="111"/>
      <c r="C946" s="111"/>
      <c r="E946" s="111"/>
      <c r="G946" s="111"/>
    </row>
    <row r="947" ht="15.75" customHeight="1">
      <c r="A947" s="111"/>
      <c r="B947" s="111"/>
      <c r="C947" s="111"/>
      <c r="E947" s="111"/>
      <c r="G947" s="111"/>
    </row>
    <row r="948" ht="15.75" customHeight="1">
      <c r="A948" s="111"/>
      <c r="B948" s="111"/>
      <c r="C948" s="111"/>
      <c r="E948" s="111"/>
      <c r="G948" s="111"/>
    </row>
    <row r="949" ht="15.75" customHeight="1">
      <c r="A949" s="111"/>
      <c r="B949" s="111"/>
      <c r="C949" s="111"/>
      <c r="E949" s="111"/>
      <c r="G949" s="111"/>
    </row>
    <row r="950" ht="15.75" customHeight="1">
      <c r="A950" s="111"/>
      <c r="B950" s="111"/>
      <c r="C950" s="111"/>
      <c r="E950" s="111"/>
      <c r="G950" s="111"/>
    </row>
    <row r="951" ht="15.75" customHeight="1">
      <c r="A951" s="111"/>
      <c r="B951" s="111"/>
      <c r="C951" s="111"/>
      <c r="E951" s="111"/>
      <c r="G951" s="111"/>
    </row>
    <row r="952" ht="15.75" customHeight="1">
      <c r="A952" s="111"/>
      <c r="B952" s="111"/>
      <c r="C952" s="111"/>
      <c r="E952" s="111"/>
      <c r="G952" s="111"/>
    </row>
    <row r="953" ht="15.75" customHeight="1">
      <c r="A953" s="111"/>
      <c r="B953" s="111"/>
      <c r="C953" s="111"/>
      <c r="E953" s="111"/>
      <c r="G953" s="111"/>
    </row>
    <row r="954" ht="15.75" customHeight="1">
      <c r="A954" s="111"/>
      <c r="B954" s="111"/>
      <c r="C954" s="111"/>
      <c r="E954" s="111"/>
      <c r="G954" s="111"/>
    </row>
    <row r="955" ht="15.75" customHeight="1">
      <c r="A955" s="111"/>
      <c r="B955" s="111"/>
      <c r="C955" s="111"/>
      <c r="E955" s="111"/>
      <c r="G955" s="111"/>
    </row>
    <row r="956" ht="15.75" customHeight="1">
      <c r="A956" s="111"/>
      <c r="B956" s="111"/>
      <c r="C956" s="111"/>
      <c r="E956" s="111"/>
      <c r="G956" s="111"/>
    </row>
    <row r="957" ht="15.75" customHeight="1">
      <c r="A957" s="111"/>
      <c r="B957" s="111"/>
      <c r="C957" s="111"/>
      <c r="E957" s="111"/>
      <c r="G957" s="111"/>
    </row>
    <row r="958" ht="15.75" customHeight="1">
      <c r="A958" s="111"/>
      <c r="B958" s="111"/>
      <c r="C958" s="111"/>
      <c r="E958" s="111"/>
      <c r="G958" s="111"/>
    </row>
    <row r="959" ht="15.75" customHeight="1">
      <c r="A959" s="111"/>
      <c r="B959" s="111"/>
      <c r="C959" s="111"/>
      <c r="E959" s="111"/>
      <c r="G959" s="111"/>
    </row>
    <row r="960" ht="15.75" customHeight="1">
      <c r="A960" s="111"/>
      <c r="B960" s="111"/>
      <c r="C960" s="111"/>
      <c r="E960" s="111"/>
      <c r="G960" s="111"/>
    </row>
    <row r="961" ht="15.75" customHeight="1">
      <c r="A961" s="111"/>
      <c r="B961" s="111"/>
      <c r="C961" s="111"/>
      <c r="E961" s="111"/>
      <c r="G961" s="111"/>
    </row>
    <row r="962" ht="15.75" customHeight="1">
      <c r="A962" s="111"/>
      <c r="B962" s="111"/>
      <c r="C962" s="111"/>
      <c r="E962" s="111"/>
      <c r="G962" s="111"/>
    </row>
    <row r="963" ht="15.75" customHeight="1">
      <c r="A963" s="111"/>
      <c r="B963" s="111"/>
      <c r="C963" s="111"/>
      <c r="E963" s="111"/>
      <c r="G963" s="111"/>
    </row>
    <row r="964" ht="15.75" customHeight="1">
      <c r="A964" s="111"/>
      <c r="B964" s="111"/>
      <c r="C964" s="111"/>
      <c r="E964" s="111"/>
      <c r="G964" s="111"/>
    </row>
    <row r="965" ht="15.75" customHeight="1">
      <c r="A965" s="111"/>
      <c r="B965" s="111"/>
      <c r="C965" s="111"/>
      <c r="E965" s="111"/>
      <c r="G965" s="111"/>
    </row>
    <row r="966" ht="15.75" customHeight="1">
      <c r="A966" s="111"/>
      <c r="B966" s="111"/>
      <c r="C966" s="111"/>
      <c r="E966" s="111"/>
      <c r="G966" s="111"/>
    </row>
    <row r="967" ht="15.75" customHeight="1">
      <c r="A967" s="111"/>
      <c r="B967" s="111"/>
      <c r="C967" s="111"/>
      <c r="E967" s="111"/>
      <c r="G967" s="111"/>
    </row>
    <row r="968" ht="15.75" customHeight="1">
      <c r="A968" s="111"/>
      <c r="B968" s="111"/>
      <c r="C968" s="111"/>
      <c r="E968" s="111"/>
      <c r="G968" s="111"/>
    </row>
    <row r="969" ht="15.75" customHeight="1">
      <c r="A969" s="111"/>
      <c r="B969" s="111"/>
      <c r="C969" s="111"/>
      <c r="E969" s="111"/>
      <c r="G969" s="111"/>
    </row>
    <row r="970" ht="15.75" customHeight="1">
      <c r="A970" s="111"/>
      <c r="B970" s="111"/>
      <c r="C970" s="111"/>
      <c r="E970" s="111"/>
      <c r="G970" s="111"/>
    </row>
    <row r="971" ht="15.75" customHeight="1">
      <c r="A971" s="111"/>
      <c r="B971" s="111"/>
      <c r="C971" s="111"/>
      <c r="E971" s="111"/>
      <c r="G971" s="111"/>
    </row>
    <row r="972" ht="15.75" customHeight="1">
      <c r="A972" s="111"/>
      <c r="B972" s="111"/>
      <c r="C972" s="111"/>
      <c r="E972" s="111"/>
      <c r="G972" s="111"/>
    </row>
    <row r="973" ht="15.75" customHeight="1">
      <c r="A973" s="111"/>
      <c r="B973" s="111"/>
      <c r="C973" s="111"/>
      <c r="E973" s="111"/>
      <c r="G973" s="111"/>
    </row>
    <row r="974" ht="15.75" customHeight="1">
      <c r="A974" s="111"/>
      <c r="B974" s="111"/>
      <c r="C974" s="111"/>
      <c r="E974" s="111"/>
      <c r="G974" s="111"/>
    </row>
    <row r="975" ht="15.75" customHeight="1">
      <c r="A975" s="111"/>
      <c r="B975" s="111"/>
      <c r="C975" s="111"/>
      <c r="E975" s="111"/>
      <c r="G975" s="111"/>
    </row>
    <row r="976" ht="15.75" customHeight="1">
      <c r="A976" s="111"/>
      <c r="B976" s="111"/>
      <c r="C976" s="111"/>
      <c r="E976" s="111"/>
      <c r="G976" s="111"/>
    </row>
    <row r="977" ht="15.75" customHeight="1">
      <c r="A977" s="111"/>
      <c r="B977" s="111"/>
      <c r="C977" s="111"/>
      <c r="E977" s="111"/>
      <c r="G977" s="111"/>
    </row>
    <row r="978" ht="15.75" customHeight="1">
      <c r="A978" s="111"/>
      <c r="B978" s="111"/>
      <c r="C978" s="111"/>
      <c r="E978" s="111"/>
      <c r="G978" s="111"/>
    </row>
    <row r="979" ht="15.75" customHeight="1">
      <c r="A979" s="111"/>
      <c r="B979" s="111"/>
      <c r="C979" s="111"/>
      <c r="E979" s="111"/>
      <c r="G979" s="111"/>
    </row>
    <row r="980" ht="15.75" customHeight="1">
      <c r="A980" s="111"/>
      <c r="B980" s="111"/>
      <c r="C980" s="111"/>
      <c r="E980" s="111"/>
      <c r="G980" s="111"/>
    </row>
    <row r="981" ht="15.75" customHeight="1">
      <c r="A981" s="111"/>
      <c r="B981" s="111"/>
      <c r="C981" s="111"/>
      <c r="E981" s="111"/>
      <c r="G981" s="111"/>
    </row>
    <row r="982" ht="15.75" customHeight="1">
      <c r="A982" s="111"/>
      <c r="B982" s="111"/>
      <c r="C982" s="111"/>
      <c r="E982" s="111"/>
      <c r="G982" s="111"/>
    </row>
    <row r="983" ht="15.75" customHeight="1">
      <c r="A983" s="111"/>
      <c r="B983" s="111"/>
      <c r="C983" s="111"/>
      <c r="E983" s="111"/>
      <c r="G983" s="111"/>
    </row>
    <row r="984" ht="15.75" customHeight="1">
      <c r="A984" s="111"/>
      <c r="B984" s="111"/>
      <c r="C984" s="111"/>
      <c r="E984" s="111"/>
      <c r="G984" s="111"/>
    </row>
    <row r="985" ht="15.75" customHeight="1">
      <c r="A985" s="111"/>
      <c r="B985" s="111"/>
      <c r="C985" s="111"/>
      <c r="E985" s="111"/>
      <c r="G985" s="111"/>
    </row>
    <row r="986" ht="15.75" customHeight="1">
      <c r="A986" s="111"/>
      <c r="B986" s="111"/>
      <c r="C986" s="111"/>
      <c r="E986" s="111"/>
      <c r="G986" s="111"/>
    </row>
    <row r="987" ht="15.75" customHeight="1">
      <c r="A987" s="111"/>
      <c r="B987" s="111"/>
      <c r="C987" s="111"/>
      <c r="E987" s="111"/>
      <c r="G987" s="111"/>
    </row>
    <row r="988" ht="15.75" customHeight="1">
      <c r="A988" s="111"/>
      <c r="B988" s="111"/>
      <c r="C988" s="111"/>
      <c r="E988" s="111"/>
      <c r="G988" s="111"/>
    </row>
    <row r="989" ht="15.75" customHeight="1">
      <c r="A989" s="111"/>
      <c r="B989" s="111"/>
      <c r="C989" s="111"/>
      <c r="E989" s="111"/>
      <c r="G989" s="111"/>
    </row>
    <row r="990" ht="15.75" customHeight="1">
      <c r="A990" s="111"/>
      <c r="B990" s="111"/>
      <c r="C990" s="111"/>
      <c r="E990" s="111"/>
      <c r="G990" s="111"/>
    </row>
    <row r="991" ht="15.75" customHeight="1">
      <c r="A991" s="111"/>
      <c r="B991" s="111"/>
      <c r="C991" s="111"/>
      <c r="E991" s="111"/>
      <c r="G991" s="111"/>
    </row>
    <row r="992" ht="15.75" customHeight="1">
      <c r="A992" s="111"/>
      <c r="B992" s="111"/>
      <c r="C992" s="111"/>
      <c r="E992" s="111"/>
      <c r="G992" s="111"/>
    </row>
    <row r="993" ht="15.75" customHeight="1">
      <c r="A993" s="111"/>
      <c r="B993" s="111"/>
      <c r="C993" s="111"/>
      <c r="E993" s="111"/>
      <c r="G993" s="111"/>
    </row>
    <row r="994" ht="15.75" customHeight="1">
      <c r="A994" s="111"/>
      <c r="B994" s="111"/>
      <c r="C994" s="111"/>
      <c r="E994" s="111"/>
      <c r="G994" s="111"/>
    </row>
    <row r="995" ht="15.75" customHeight="1">
      <c r="A995" s="111"/>
      <c r="B995" s="111"/>
      <c r="C995" s="111"/>
      <c r="E995" s="111"/>
      <c r="G995" s="111"/>
    </row>
    <row r="996" ht="15.75" customHeight="1">
      <c r="A996" s="111"/>
      <c r="B996" s="111"/>
      <c r="C996" s="111"/>
      <c r="E996" s="111"/>
      <c r="G996" s="111"/>
    </row>
    <row r="997" ht="15.75" customHeight="1">
      <c r="A997" s="111"/>
      <c r="B997" s="111"/>
      <c r="C997" s="111"/>
      <c r="E997" s="111"/>
      <c r="G997" s="111"/>
    </row>
    <row r="998" ht="15.75" customHeight="1">
      <c r="A998" s="111"/>
      <c r="B998" s="111"/>
      <c r="C998" s="111"/>
      <c r="E998" s="111"/>
      <c r="G998" s="111"/>
    </row>
    <row r="999" ht="15.75" customHeight="1">
      <c r="A999" s="111"/>
      <c r="B999" s="111"/>
      <c r="C999" s="111"/>
      <c r="E999" s="111"/>
      <c r="G999" s="111"/>
    </row>
    <row r="1000" ht="15.75" customHeight="1">
      <c r="A1000" s="111"/>
      <c r="B1000" s="111"/>
      <c r="C1000" s="111"/>
      <c r="E1000" s="111"/>
      <c r="G1000" s="111"/>
    </row>
  </sheetData>
  <conditionalFormatting sqref="D3:D5">
    <cfRule type="containsText" dxfId="10" priority="1" operator="containsText" text="Low">
      <formula>NOT(ISERROR(SEARCH(("Low"),(D3))))</formula>
    </cfRule>
  </conditionalFormatting>
  <conditionalFormatting sqref="D3:D5">
    <cfRule type="containsText" dxfId="11" priority="2" operator="containsText" text="Medium">
      <formula>NOT(ISERROR(SEARCH(("Medium"),(D3))))</formula>
    </cfRule>
  </conditionalFormatting>
  <conditionalFormatting sqref="D3:D5">
    <cfRule type="containsText" dxfId="12" priority="3" operator="containsText" text="High">
      <formula>NOT(ISERROR(SEARCH(("High"),(D3))))</formula>
    </cfRule>
  </conditionalFormatting>
  <conditionalFormatting sqref="F3:F11">
    <cfRule type="containsText" dxfId="0" priority="4" stopIfTrue="1" operator="containsText" text="Approved">
      <formula>NOT(ISERROR(SEARCH(("Approved"),(F3))))</formula>
    </cfRule>
  </conditionalFormatting>
  <conditionalFormatting sqref="F3:F11">
    <cfRule type="containsText" dxfId="1" priority="5" operator="containsText" text="Needs Review">
      <formula>NOT(ISERROR(SEARCH(("Needs Review"),(F3))))</formula>
    </cfRule>
  </conditionalFormatting>
  <conditionalFormatting sqref="F3:F11">
    <cfRule type="containsText" dxfId="2" priority="6" stopIfTrue="1" operator="containsText" text="Not Started">
      <formula>NOT(ISERROR(SEARCH(("Not Started"),(F3))))</formula>
    </cfRule>
  </conditionalFormatting>
  <conditionalFormatting sqref="F3:F11">
    <cfRule type="containsText" dxfId="3" priority="7" operator="containsText" text="On Hold">
      <formula>NOT(ISERROR(SEARCH(("On Hold"),(F3))))</formula>
    </cfRule>
  </conditionalFormatting>
  <conditionalFormatting sqref="F3:F11">
    <cfRule type="containsText" dxfId="4" priority="8" stopIfTrue="1" operator="containsText" text="Overdue">
      <formula>NOT(ISERROR(SEARCH(("Overdue"),(F3))))</formula>
    </cfRule>
  </conditionalFormatting>
  <conditionalFormatting sqref="F3:F11">
    <cfRule type="containsText" dxfId="13" priority="9" stopIfTrue="1" operator="containsText" text="Complete">
      <formula>NOT(ISERROR(SEARCH(("Complete"),(F3))))</formula>
    </cfRule>
  </conditionalFormatting>
  <conditionalFormatting sqref="F3:F11">
    <cfRule type="containsText" dxfId="14" priority="10" stopIfTrue="1" operator="containsText" text="In Progress">
      <formula>NOT(ISERROR(SEARCH(("In Progress"),(F3))))</formula>
    </cfRule>
  </conditionalFormatting>
  <printOptions/>
  <pageMargins bottom="0.75" footer="0.0" header="0.0" left="0.7" right="0.7" top="0.75"/>
  <pageSetup orientation="portrait"/>
  <drawing r:id="rId1"/>
</worksheet>
</file>